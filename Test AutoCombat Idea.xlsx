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Project-Paleo-Maiden\"/>
    </mc:Choice>
  </mc:AlternateContent>
  <xr:revisionPtr revIDLastSave="0" documentId="8_{6DC5E3CD-7D2B-41C8-AEA0-80C977C92F6B}" xr6:coauthVersionLast="47" xr6:coauthVersionMax="47" xr10:uidLastSave="{00000000-0000-0000-0000-000000000000}"/>
  <bookViews>
    <workbookView xWindow="-120" yWindow="480" windowWidth="29040" windowHeight="15840" activeTab="5" xr2:uid="{00000000-000D-0000-FFFF-FFFF00000000}"/>
  </bookViews>
  <sheets>
    <sheet name="Combat System Notes (Cam) " sheetId="1" r:id="rId1"/>
    <sheet name="Game flow chart" sheetId="3" r:id="rId2"/>
    <sheet name="back up" sheetId="4" r:id="rId3"/>
    <sheet name="Player actions on BG analysis" sheetId="2" r:id="rId4"/>
    <sheet name="Sheet2" sheetId="5" r:id="rId5"/>
    <sheet name="Dino Exp MU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7" i="3" l="1"/>
  <c r="E191" i="3"/>
  <c r="E189" i="3"/>
  <c r="E170" i="3"/>
  <c r="E176" i="3"/>
  <c r="E174" i="3"/>
  <c r="E168" i="3"/>
  <c r="F22" i="3"/>
  <c r="F24" i="3" s="1"/>
  <c r="E38" i="3" s="1"/>
  <c r="E160" i="3"/>
  <c r="E158" i="3"/>
  <c r="E154" i="3"/>
  <c r="E152" i="3"/>
  <c r="E144" i="3"/>
  <c r="E142" i="3"/>
  <c r="E138" i="3"/>
  <c r="E136" i="3"/>
  <c r="E128" i="3"/>
  <c r="E126" i="3"/>
  <c r="E122" i="3"/>
  <c r="E120" i="3"/>
  <c r="E112" i="3"/>
  <c r="E110" i="3"/>
  <c r="E106" i="3"/>
  <c r="E104" i="3"/>
  <c r="E96" i="3"/>
  <c r="E94" i="3"/>
  <c r="E90" i="3"/>
  <c r="E88" i="3"/>
  <c r="E80" i="3"/>
  <c r="E78" i="3"/>
  <c r="E74" i="3"/>
  <c r="E72" i="3"/>
  <c r="E64" i="3"/>
  <c r="E62" i="3"/>
  <c r="E58" i="3"/>
  <c r="E56" i="3"/>
  <c r="E48" i="3"/>
  <c r="E46" i="3"/>
  <c r="E42" i="3"/>
  <c r="E40" i="3"/>
  <c r="D105" i="4"/>
  <c r="D103" i="4"/>
  <c r="D99" i="4"/>
  <c r="D97" i="4"/>
  <c r="D87" i="4"/>
  <c r="D81" i="4"/>
  <c r="D71" i="4"/>
  <c r="D65" i="4"/>
  <c r="D55" i="4"/>
  <c r="D49" i="4"/>
  <c r="D39" i="4"/>
  <c r="D33" i="4"/>
  <c r="D23" i="4"/>
  <c r="D17" i="4"/>
  <c r="D7" i="4"/>
  <c r="D1" i="4"/>
  <c r="E32" i="3"/>
  <c r="E26" i="3"/>
  <c r="E24" i="3"/>
  <c r="E30" i="3"/>
  <c r="E25" i="3" l="1"/>
  <c r="E27" i="3"/>
  <c r="E31" i="3"/>
  <c r="E33" i="3"/>
  <c r="F38" i="3"/>
  <c r="F40" i="3" s="1"/>
  <c r="F54" i="3" s="1"/>
  <c r="F56" i="3" s="1"/>
  <c r="F70" i="3" s="1"/>
  <c r="F72" i="3" s="1"/>
  <c r="E47" i="3" l="1"/>
  <c r="E41" i="3"/>
  <c r="E43" i="3"/>
  <c r="E57" i="3"/>
  <c r="E70" i="3"/>
  <c r="E65" i="3"/>
  <c r="E63" i="3"/>
  <c r="F86" i="3"/>
  <c r="F88" i="3" s="1"/>
  <c r="E79" i="3"/>
  <c r="E75" i="3"/>
  <c r="E86" i="3"/>
  <c r="E73" i="3"/>
  <c r="E59" i="3"/>
  <c r="E54" i="3"/>
  <c r="E81" i="3"/>
  <c r="E49" i="3"/>
  <c r="F102" i="3" l="1"/>
  <c r="F104" i="3" s="1"/>
  <c r="E102" i="3"/>
  <c r="E97" i="3"/>
  <c r="E89" i="3"/>
  <c r="E91" i="3"/>
  <c r="E95" i="3"/>
  <c r="F118" i="3" l="1"/>
  <c r="F120" i="3" s="1"/>
  <c r="E107" i="3"/>
  <c r="E105" i="3"/>
  <c r="E113" i="3"/>
  <c r="E111" i="3"/>
  <c r="E118" i="3"/>
  <c r="F134" i="3" l="1"/>
  <c r="F136" i="3" s="1"/>
  <c r="E129" i="3"/>
  <c r="E134" i="3"/>
  <c r="E121" i="3"/>
  <c r="E127" i="3"/>
  <c r="E123" i="3"/>
  <c r="F150" i="3" l="1"/>
  <c r="F152" i="3" s="1"/>
  <c r="E139" i="3"/>
  <c r="E137" i="3"/>
  <c r="E143" i="3"/>
  <c r="E145" i="3"/>
  <c r="E150" i="3"/>
  <c r="F166" i="3" l="1"/>
  <c r="F168" i="3" s="1"/>
  <c r="E155" i="3"/>
  <c r="E159" i="3"/>
  <c r="E153" i="3"/>
  <c r="E161" i="3"/>
  <c r="E166" i="3"/>
  <c r="F182" i="3" l="1"/>
  <c r="F184" i="3" s="1"/>
  <c r="E169" i="3"/>
  <c r="E175" i="3"/>
  <c r="E177" i="3"/>
  <c r="E182" i="3"/>
  <c r="E171" i="3"/>
  <c r="F197" i="3" l="1"/>
  <c r="E185" i="3"/>
  <c r="E187" i="3"/>
  <c r="E190" i="3"/>
  <c r="E192" i="3"/>
</calcChain>
</file>

<file path=xl/sharedStrings.xml><?xml version="1.0" encoding="utf-8"?>
<sst xmlns="http://schemas.openxmlformats.org/spreadsheetml/2006/main" count="1175" uniqueCount="266">
  <si>
    <t>time</t>
  </si>
  <si>
    <t>red</t>
  </si>
  <si>
    <t>ATK</t>
  </si>
  <si>
    <t>atk dmg</t>
  </si>
  <si>
    <t>more atk less interactions</t>
  </si>
  <si>
    <t>distance</t>
  </si>
  <si>
    <t>yellow</t>
  </si>
  <si>
    <t>DEF</t>
  </si>
  <si>
    <t>dmg reduction</t>
  </si>
  <si>
    <t>more def more interactions</t>
  </si>
  <si>
    <t>green</t>
  </si>
  <si>
    <t>SPD</t>
  </si>
  <si>
    <t>distance per tick</t>
  </si>
  <si>
    <t>more spd less time wasted</t>
  </si>
  <si>
    <t>blue</t>
  </si>
  <si>
    <t>STA</t>
  </si>
  <si>
    <t>time before atk</t>
  </si>
  <si>
    <t>more sta less time wasted</t>
  </si>
  <si>
    <t>time as units = time unit</t>
  </si>
  <si>
    <t>distance as units = m</t>
  </si>
  <si>
    <t>trigger conditions</t>
  </si>
  <si>
    <t>how movement?</t>
  </si>
  <si>
    <t>default move towards opponent</t>
  </si>
  <si>
    <t>Starting Position, 10m away from each other</t>
  </si>
  <si>
    <t>atks have:</t>
  </si>
  <si>
    <t>startup</t>
  </si>
  <si>
    <t>how fast? based on spd, more spd = more distance per tick</t>
  </si>
  <si>
    <t>What happens every tick?</t>
  </si>
  <si>
    <t>endlag</t>
  </si>
  <si>
    <t>check if can do any attacks</t>
  </si>
  <si>
    <t>dmg</t>
  </si>
  <si>
    <t>if can attack, then attack</t>
  </si>
  <si>
    <t>effects</t>
  </si>
  <si>
    <t>if cannot attack, then move</t>
  </si>
  <si>
    <t>trigger conditions (base atk):</t>
  </si>
  <si>
    <t>if not hit in current tick</t>
  </si>
  <si>
    <t>move</t>
  </si>
  <si>
    <t>if strategy is offensive</t>
  </si>
  <si>
    <t>move forward until right next to opponent</t>
  </si>
  <si>
    <t>prioritize attacks being in range</t>
  </si>
  <si>
    <t>close distance, minimal time loss before action</t>
  </si>
  <si>
    <t>move backwards during opp attack startup</t>
  </si>
  <si>
    <t>stay put when</t>
  </si>
  <si>
    <t>if strategy is balanced</t>
  </si>
  <si>
    <t>move forward until self base atk tip range</t>
  </si>
  <si>
    <t>prioritize evasion while being able to land attacks</t>
  </si>
  <si>
    <t>mid distance, balanced time loss before action</t>
  </si>
  <si>
    <t>move backwards when within self base atk tip range</t>
  </si>
  <si>
    <t>if strategy is defensive</t>
  </si>
  <si>
    <t>move forwards when action available</t>
  </si>
  <si>
    <t>prioritize having actions before initiating</t>
  </si>
  <si>
    <t>far distance, high time loss before action</t>
  </si>
  <si>
    <t>move backward until action goal is hit</t>
  </si>
  <si>
    <t>if hit in current tick</t>
  </si>
  <si>
    <t>try attack</t>
  </si>
  <si>
    <t>if can attack</t>
  </si>
  <si>
    <t>use attack</t>
  </si>
  <si>
    <t xml:space="preserve">if cannot because </t>
  </si>
  <si>
    <t>out of range</t>
  </si>
  <si>
    <t>save action for next tick, initiate move instead</t>
  </si>
  <si>
    <t>in hitstun</t>
  </si>
  <si>
    <t>save action for next tick</t>
  </si>
  <si>
    <t>basic attacks come out at set/random intervals</t>
  </si>
  <si>
    <t>techniques:</t>
  </si>
  <si>
    <t>- rng activation with condition checks</t>
  </si>
  <si>
    <t>STA = 5 - rng roll</t>
  </si>
  <si>
    <t>atks should have range</t>
  </si>
  <si>
    <t>Action Goal = 50</t>
  </si>
  <si>
    <t>- has cooldown</t>
  </si>
  <si>
    <t>Base Tick = 0.1s</t>
  </si>
  <si>
    <t>Player action = 0</t>
  </si>
  <si>
    <t>every 0.1s, add 5 to player action</t>
  </si>
  <si>
    <t>technique priority based on loadout arrangement</t>
  </si>
  <si>
    <t>once player action hits &gt;= 50, player gets to do an action (specifically for basic attacks or rng techniques?)</t>
  </si>
  <si>
    <t>Potential mechanics:</t>
  </si>
  <si>
    <t>stay put and moving back = defend?</t>
  </si>
  <si>
    <t>solid, lets us capitalize more on defense</t>
  </si>
  <si>
    <t>move forward = increase action goal rate by spd?</t>
  </si>
  <si>
    <t>debatable, less likely</t>
  </si>
  <si>
    <t>if both chars are in range for their basic atks, clash regardless of action goal?</t>
  </si>
  <si>
    <t>how to determine clash winner for something like this?</t>
  </si>
  <si>
    <t>i want things to happen more frequently, and random, no answer to this yet</t>
  </si>
  <si>
    <t>potential answer: both clashers choose from their technique pool</t>
  </si>
  <si>
    <t>CLASHING</t>
  </si>
  <si>
    <t>Affinity:</t>
  </si>
  <si>
    <t>increases chance of proccing techniques</t>
  </si>
  <si>
    <t>low affinity causes disobedience?</t>
  </si>
  <si>
    <t>other special effects:</t>
  </si>
  <si>
    <t>crits?</t>
  </si>
  <si>
    <t>survive with 1hp</t>
  </si>
  <si>
    <t>trigger followup technique (skip action goal)</t>
  </si>
  <si>
    <t>trigger evasive technique (skip action goal)</t>
  </si>
  <si>
    <t>special events:</t>
  </si>
  <si>
    <t>low hp insta ult against rival?</t>
  </si>
  <si>
    <t>Player Actions (Board):</t>
  </si>
  <si>
    <t>What does it do</t>
  </si>
  <si>
    <t>char attributes</t>
  </si>
  <si>
    <t>what they do</t>
  </si>
  <si>
    <t>roll dice</t>
  </si>
  <si>
    <t>determines available landing spots</t>
  </si>
  <si>
    <t>pmagic</t>
  </si>
  <si>
    <t>hp</t>
  </si>
  <si>
    <t>choose landing spot</t>
  </si>
  <si>
    <t>diff landing spots = diff effects</t>
  </si>
  <si>
    <t>affinity</t>
  </si>
  <si>
    <t>unlock inconsistent effects and new paths to greater power</t>
  </si>
  <si>
    <t>camp -&gt; train</t>
  </si>
  <si>
    <t>learn new techniques, - pmagic</t>
  </si>
  <si>
    <t>technique list</t>
  </si>
  <si>
    <t>camp -&gt; forage</t>
  </si>
  <si>
    <t>- pmagic, get ingredients and maybe techniques</t>
  </si>
  <si>
    <t>camp -&gt; cook</t>
  </si>
  <si>
    <t>use ingredients to get benefits</t>
  </si>
  <si>
    <t>camp -&gt; barter</t>
  </si>
  <si>
    <t>trade useless ingredients to get what you need next turn</t>
  </si>
  <si>
    <t>crossroads event - rival meet -&gt; interact</t>
  </si>
  <si>
    <t>something good or bad could happen between you and the rival, good example: get technique, bad example: ???</t>
  </si>
  <si>
    <t>crossroad events trigger by chance or by landing on a crossroad</t>
  </si>
  <si>
    <t>crossroads event - rival meet -&gt; challenge</t>
  </si>
  <si>
    <t>battle, win -&gt; get techniques, lose -&gt; KO but not game over</t>
  </si>
  <si>
    <t>crossroads event - rival meet -&gt; leave</t>
  </si>
  <si>
    <t>lets you avoid bad situations</t>
  </si>
  <si>
    <t xml:space="preserve">Battle prototype game process flow </t>
  </si>
  <si>
    <t>Test</t>
  </si>
  <si>
    <t>P1</t>
  </si>
  <si>
    <t>Tyran Rex</t>
  </si>
  <si>
    <t>P2</t>
  </si>
  <si>
    <t>Sastrei Taurus</t>
  </si>
  <si>
    <t xml:space="preserve">Tyran Rex </t>
  </si>
  <si>
    <t xml:space="preserve">Offensive </t>
  </si>
  <si>
    <t xml:space="preserve">Strategy </t>
  </si>
  <si>
    <t xml:space="preserve">Game Tick </t>
  </si>
  <si>
    <t>Both player spawns in</t>
  </si>
  <si>
    <t>Both roll to determine STA roll</t>
  </si>
  <si>
    <t>P1 roll 5</t>
  </si>
  <si>
    <t>P2 roll 4</t>
  </si>
  <si>
    <t xml:space="preserve">Action Played </t>
  </si>
  <si>
    <t>Condition of actions</t>
  </si>
  <si>
    <t>Universal</t>
  </si>
  <si>
    <t xml:space="preserve">Offensive Strategy </t>
  </si>
  <si>
    <t>Notes</t>
  </si>
  <si>
    <t xml:space="preserve">always happens at the start of the game </t>
  </si>
  <si>
    <t xml:space="preserve">P1 Check for P2 distance </t>
  </si>
  <si>
    <t xml:space="preserve">Relevant Stats </t>
  </si>
  <si>
    <t xml:space="preserve">Speed </t>
  </si>
  <si>
    <t>Sta</t>
  </si>
  <si>
    <t>Attk</t>
  </si>
  <si>
    <t>Def</t>
  </si>
  <si>
    <t>5m/t</t>
  </si>
  <si>
    <t>Hp</t>
  </si>
  <si>
    <t>Offensive</t>
  </si>
  <si>
    <t>P1 gain 5 towards action goal</t>
  </si>
  <si>
    <t>P2 gain 4 towards action goal</t>
  </si>
  <si>
    <t xml:space="preserve">P2 Check for P1 distance </t>
  </si>
  <si>
    <t>Action goal is 50</t>
  </si>
  <si>
    <t>attk range 5m</t>
  </si>
  <si>
    <t xml:space="preserve">Attk startup </t>
  </si>
  <si>
    <t>Attk active</t>
  </si>
  <si>
    <t>Attk recovery</t>
  </si>
  <si>
    <t>Attk dmg</t>
  </si>
  <si>
    <t xml:space="preserve">Universal </t>
  </si>
  <si>
    <t>P1 checks own attk range relative to P2</t>
  </si>
  <si>
    <t xml:space="preserve">Move Towards P2 5 unit </t>
  </si>
  <si>
    <t xml:space="preserve">P1 don’t attk </t>
  </si>
  <si>
    <t>P2 checks own attk range relative to P1</t>
  </si>
  <si>
    <t xml:space="preserve">P2 don’t attk </t>
  </si>
  <si>
    <t xml:space="preserve">Move Towards P1 5 unit </t>
  </si>
  <si>
    <t>P1 check action goal to check are they able to attk</t>
  </si>
  <si>
    <t>P1 cannot attk and also attk is not in range</t>
  </si>
  <si>
    <t>Type of actions</t>
  </si>
  <si>
    <t>System</t>
  </si>
  <si>
    <t xml:space="preserve">Char Decisions </t>
  </si>
  <si>
    <t>Char Checks</t>
  </si>
  <si>
    <t>P2 check action goal to check are they able to attk</t>
  </si>
  <si>
    <t>P1 move because cannot attk, distance between -5m</t>
  </si>
  <si>
    <t>P2 move because cannot attk, distance between -5m</t>
  </si>
  <si>
    <t>P1 HP 50</t>
  </si>
  <si>
    <t>P2 HP 50</t>
  </si>
  <si>
    <t>action goal is 10/50, P1 cannot attk</t>
  </si>
  <si>
    <t>action goal is 8/50, P2 cannot attk</t>
  </si>
  <si>
    <t>P2 cannot attk and also attk is not in range</t>
  </si>
  <si>
    <t xml:space="preserve">Hitstun </t>
  </si>
  <si>
    <t xml:space="preserve">Blow back </t>
  </si>
  <si>
    <t>5m</t>
  </si>
  <si>
    <t>action goal is 12/50, P2 cannot attk</t>
  </si>
  <si>
    <t>Offensive char only attk when the distance between both chars is &lt;=3m</t>
  </si>
  <si>
    <t>Offensive char only attk when the distance between both chars is &lt;= 3m</t>
  </si>
  <si>
    <t>action goal is 20/50, P1 cannot attk</t>
  </si>
  <si>
    <t>action goal is 16/50, P2 cannot attk</t>
  </si>
  <si>
    <t>Spawn distance between char is 100</t>
  </si>
  <si>
    <t>Distance between both char is 90m</t>
  </si>
  <si>
    <t>Distance between both char is 100m</t>
  </si>
  <si>
    <t>Attk range 5, Distance between both char is 90m</t>
  </si>
  <si>
    <t>Distance between both char is [90-5-5]=80m</t>
  </si>
  <si>
    <t>Distance between both char is 80m</t>
  </si>
  <si>
    <t>Attk range 5, Distance between both char is 80m</t>
  </si>
  <si>
    <t>Distance between both char is [80-5-5]=70m</t>
  </si>
  <si>
    <t>Distance between both char is 70m</t>
  </si>
  <si>
    <t>Attk range 5, Distance between both char is 70m</t>
  </si>
  <si>
    <t>Distance between both char is [70-5-5]=60m</t>
  </si>
  <si>
    <t>Distance between both char is 60m</t>
  </si>
  <si>
    <t>action goal is 25/50, P1 cannot attk</t>
  </si>
  <si>
    <t>Attk range 5, Distance between both char is 60m</t>
  </si>
  <si>
    <t>action goal is 20/50, P2 cannot attk</t>
  </si>
  <si>
    <t>Distance between both char is [60-5-5]=50m</t>
  </si>
  <si>
    <t>Distance between both char is 50m</t>
  </si>
  <si>
    <t>action goal is 30/50, P1 cannot attk</t>
  </si>
  <si>
    <t>Attk range 5, Distance between both char is 50m</t>
  </si>
  <si>
    <t>action goal is 24/50, P2 cannot attk</t>
  </si>
  <si>
    <t>Distance between both char is [50-5-5]=40m</t>
  </si>
  <si>
    <t>Distance between both char is 40m</t>
  </si>
  <si>
    <t>action goal is 35/50, P1 cannot attk</t>
  </si>
  <si>
    <t>Attk range 5, Distance between both char is 40m</t>
  </si>
  <si>
    <t>action goal is 28/50, P2 cannot attk</t>
  </si>
  <si>
    <t>Distance between both char is [40-5-5]=30m</t>
  </si>
  <si>
    <t>P1 can attk but attk is not in range</t>
  </si>
  <si>
    <t>action goal is 50/50</t>
  </si>
  <si>
    <t>action goal is 50/50, P1 can attk</t>
  </si>
  <si>
    <t>P1 can atkk and start attking</t>
  </si>
  <si>
    <t>attk start up is one tick, next tick attk will come up</t>
  </si>
  <si>
    <t xml:space="preserve">P2 cannot attk and but is in attk range </t>
  </si>
  <si>
    <t>run towards each other</t>
  </si>
  <si>
    <t>(action goal diff)</t>
  </si>
  <si>
    <t>they reach other but both not hit action goal</t>
  </si>
  <si>
    <t>one reach action goal before hitting distance check</t>
  </si>
  <si>
    <t>Nuetral</t>
  </si>
  <si>
    <t xml:space="preserve">Advantage and disadvantage </t>
  </si>
  <si>
    <t>(one person reach action goal and start attk, both hit action goal)</t>
  </si>
  <si>
    <t>(continue running until in range of the strategy)</t>
  </si>
  <si>
    <t>If one hit both dist and AG checks, they attk first</t>
  </si>
  <si>
    <t>opponent see startup they move back (intention to block when attk will land)</t>
  </si>
  <si>
    <t xml:space="preserve">if attk lands, opponent will block </t>
  </si>
  <si>
    <t>attk active</t>
  </si>
  <si>
    <t xml:space="preserve">attk recovery </t>
  </si>
  <si>
    <t>oppenent in block stun</t>
  </si>
  <si>
    <t xml:space="preserve">If clash </t>
  </si>
  <si>
    <t>both attk active frame hitbox hit each other</t>
  </si>
  <si>
    <t>clash formula</t>
  </si>
  <si>
    <t>(P2atk stat+ P2 def stat)/(P1atk stat+P1def stat)+(P2atk stat+ P2 def stat)x100=P2 percentage of winning clash (weight when coin toss)</t>
  </si>
  <si>
    <t>if win clash, opponent knocked back and gets stun until they get hit again</t>
  </si>
  <si>
    <t>trex O</t>
  </si>
  <si>
    <t>trex B</t>
  </si>
  <si>
    <t>trex D</t>
  </si>
  <si>
    <t xml:space="preserve">Carno O </t>
  </si>
  <si>
    <t xml:space="preserve">Carno B </t>
  </si>
  <si>
    <t>Carno D</t>
  </si>
  <si>
    <t>Fukui O</t>
  </si>
  <si>
    <t>Fukui B</t>
  </si>
  <si>
    <t>Fukui D</t>
  </si>
  <si>
    <t>Armaga O</t>
  </si>
  <si>
    <t>Armaga B</t>
  </si>
  <si>
    <t>Armaga D</t>
  </si>
  <si>
    <t>5-5</t>
  </si>
  <si>
    <t>6-4</t>
  </si>
  <si>
    <t>7-3</t>
  </si>
  <si>
    <t>4-6</t>
  </si>
  <si>
    <t>3-7</t>
  </si>
  <si>
    <t>8-2</t>
  </si>
  <si>
    <t>most ideal strat</t>
  </si>
  <si>
    <t>eh strat</t>
  </si>
  <si>
    <t>worst strat</t>
  </si>
  <si>
    <t>2-8</t>
  </si>
  <si>
    <t>9-1</t>
  </si>
  <si>
    <t>d</t>
  </si>
  <si>
    <t>1-9</t>
  </si>
  <si>
    <t>Expected MU when they fight only with basic attk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</si>
</sst>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u/>
      <sz val="2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3" borderId="0" xfId="2"/>
    <xf numFmtId="0" fontId="9" fillId="4" borderId="0" xfId="3"/>
    <xf numFmtId="0" fontId="7" fillId="2" borderId="0" xfId="1"/>
    <xf numFmtId="0" fontId="10" fillId="0" borderId="0" xfId="0" applyFont="1"/>
    <xf numFmtId="49" fontId="9" fillId="4" borderId="1" xfId="3" applyNumberFormat="1" applyBorder="1"/>
    <xf numFmtId="49" fontId="7" fillId="2" borderId="2" xfId="1" applyNumberFormat="1" applyBorder="1"/>
    <xf numFmtId="49" fontId="7" fillId="2" borderId="3" xfId="1" applyNumberFormat="1" applyBorder="1"/>
    <xf numFmtId="49" fontId="8" fillId="3" borderId="4" xfId="2" applyNumberFormat="1" applyBorder="1"/>
    <xf numFmtId="49" fontId="9" fillId="4" borderId="0" xfId="3" applyNumberFormat="1" applyBorder="1"/>
    <xf numFmtId="49" fontId="7" fillId="2" borderId="0" xfId="1" applyNumberFormat="1" applyBorder="1"/>
    <xf numFmtId="49" fontId="7" fillId="2" borderId="5" xfId="1" applyNumberFormat="1" applyBorder="1"/>
    <xf numFmtId="49" fontId="8" fillId="3" borderId="6" xfId="2" applyNumberFormat="1" applyBorder="1"/>
    <xf numFmtId="49" fontId="8" fillId="3" borderId="7" xfId="2" applyNumberFormat="1" applyBorder="1"/>
    <xf numFmtId="49" fontId="8" fillId="3" borderId="8" xfId="2" applyNumberFormat="1" applyBorder="1"/>
    <xf numFmtId="49" fontId="7" fillId="2" borderId="1" xfId="1" applyNumberFormat="1" applyBorder="1"/>
    <xf numFmtId="49" fontId="9" fillId="4" borderId="2" xfId="3" applyNumberFormat="1" applyBorder="1"/>
    <xf numFmtId="49" fontId="8" fillId="3" borderId="0" xfId="2" applyNumberFormat="1" applyBorder="1"/>
    <xf numFmtId="49" fontId="9" fillId="4" borderId="6" xfId="3" applyNumberFormat="1" applyBorder="1"/>
    <xf numFmtId="49" fontId="9" fillId="4" borderId="8" xfId="3" applyNumberFormat="1" applyBorder="1"/>
    <xf numFmtId="49" fontId="9" fillId="4" borderId="3" xfId="3" applyNumberFormat="1" applyBorder="1"/>
    <xf numFmtId="49" fontId="7" fillId="2" borderId="4" xfId="1" applyNumberFormat="1" applyBorder="1"/>
    <xf numFmtId="49" fontId="8" fillId="3" borderId="5" xfId="2" applyNumberFormat="1" applyBorder="1"/>
    <xf numFmtId="49" fontId="8" fillId="3" borderId="2" xfId="2" applyNumberFormat="1" applyBorder="1"/>
    <xf numFmtId="49" fontId="8" fillId="3" borderId="3" xfId="2" applyNumberFormat="1" applyBorder="1"/>
    <xf numFmtId="49" fontId="8" fillId="3" borderId="1" xfId="2" applyNumberFormat="1" applyBorder="1"/>
    <xf numFmtId="49" fontId="7" fillId="2" borderId="7" xfId="1" applyNumberFormat="1" applyBorder="1"/>
    <xf numFmtId="49" fontId="7" fillId="2" borderId="6" xfId="1" applyNumberFormat="1" applyBorder="1"/>
    <xf numFmtId="49" fontId="7" fillId="2" borderId="8" xfId="1" applyNumberFormat="1" applyBorder="1"/>
    <xf numFmtId="49" fontId="9" fillId="4" borderId="4" xfId="3" applyNumberFormat="1" applyBorder="1"/>
    <xf numFmtId="0" fontId="12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topLeftCell="A16" workbookViewId="0">
      <selection activeCell="D33" sqref="D33"/>
    </sheetView>
  </sheetViews>
  <sheetFormatPr defaultColWidth="12.5703125" defaultRowHeight="15.75" customHeight="1" x14ac:dyDescent="0.2"/>
  <cols>
    <col min="1" max="1" width="42.42578125" customWidth="1"/>
    <col min="2" max="2" width="21" customWidth="1"/>
    <col min="3" max="3" width="22.7109375" customWidth="1"/>
    <col min="4" max="4" width="34.28515625" customWidth="1"/>
    <col min="5" max="5" width="16.28515625" customWidth="1"/>
    <col min="6" max="6" width="19.140625" customWidth="1"/>
    <col min="8" max="8" width="19.42578125" customWidth="1"/>
    <col min="9" max="9" width="18.42578125" customWidth="1"/>
    <col min="10" max="10" width="22" customWidth="1"/>
    <col min="14" max="14" width="37.85546875" customWidth="1"/>
  </cols>
  <sheetData>
    <row r="1" spans="1:9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9" x14ac:dyDescent="0.2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9" x14ac:dyDescent="0.2">
      <c r="A3" s="1"/>
      <c r="B3" s="2" t="s">
        <v>10</v>
      </c>
      <c r="C3" s="3" t="s">
        <v>11</v>
      </c>
      <c r="D3" s="3" t="s">
        <v>12</v>
      </c>
      <c r="E3" s="3" t="s">
        <v>13</v>
      </c>
    </row>
    <row r="4" spans="1:9" x14ac:dyDescent="0.2">
      <c r="A4" s="1"/>
      <c r="B4" s="2" t="s">
        <v>14</v>
      </c>
      <c r="C4" s="3" t="s">
        <v>15</v>
      </c>
      <c r="D4" s="3" t="s">
        <v>16</v>
      </c>
      <c r="E4" s="3" t="s">
        <v>17</v>
      </c>
    </row>
    <row r="5" spans="1:9" x14ac:dyDescent="0.2">
      <c r="A5" s="1"/>
      <c r="B5" s="2"/>
    </row>
    <row r="6" spans="1:9" x14ac:dyDescent="0.2">
      <c r="A6" s="1"/>
      <c r="B6" s="2"/>
    </row>
    <row r="7" spans="1:9" x14ac:dyDescent="0.2">
      <c r="A7" s="1" t="s">
        <v>18</v>
      </c>
      <c r="B7" s="2"/>
    </row>
    <row r="8" spans="1:9" x14ac:dyDescent="0.2">
      <c r="A8" s="1" t="s">
        <v>19</v>
      </c>
      <c r="B8" s="2"/>
    </row>
    <row r="9" spans="1:9" x14ac:dyDescent="0.2">
      <c r="A9" s="1"/>
      <c r="B9" s="2"/>
    </row>
    <row r="10" spans="1:9" x14ac:dyDescent="0.2">
      <c r="A10" s="1"/>
      <c r="B10" s="2"/>
    </row>
    <row r="11" spans="1:9" x14ac:dyDescent="0.2">
      <c r="A11" s="1"/>
      <c r="B11" s="2"/>
    </row>
    <row r="12" spans="1:9" x14ac:dyDescent="0.2">
      <c r="A12" s="1"/>
      <c r="B12" s="2"/>
    </row>
    <row r="13" spans="1:9" x14ac:dyDescent="0.2">
      <c r="A13" s="1"/>
      <c r="B13" s="2"/>
      <c r="E13" s="3" t="s">
        <v>20</v>
      </c>
      <c r="H13" s="3" t="s">
        <v>21</v>
      </c>
      <c r="I13" s="3" t="s">
        <v>22</v>
      </c>
    </row>
    <row r="14" spans="1:9" x14ac:dyDescent="0.2">
      <c r="A14" s="1" t="s">
        <v>23</v>
      </c>
      <c r="B14" s="2"/>
      <c r="D14" s="3" t="s">
        <v>24</v>
      </c>
      <c r="E14" s="3" t="s">
        <v>25</v>
      </c>
      <c r="I14" s="3" t="s">
        <v>26</v>
      </c>
    </row>
    <row r="15" spans="1:9" x14ac:dyDescent="0.2">
      <c r="A15" s="1" t="s">
        <v>27</v>
      </c>
      <c r="B15" s="2"/>
      <c r="E15" s="3" t="s">
        <v>28</v>
      </c>
    </row>
    <row r="16" spans="1:9" x14ac:dyDescent="0.2">
      <c r="A16" s="1" t="s">
        <v>29</v>
      </c>
      <c r="B16" s="2"/>
      <c r="E16" s="3" t="s">
        <v>30</v>
      </c>
    </row>
    <row r="17" spans="1:9" x14ac:dyDescent="0.2">
      <c r="A17" s="1" t="s">
        <v>31</v>
      </c>
      <c r="B17" s="2"/>
      <c r="E17" s="3" t="s">
        <v>32</v>
      </c>
    </row>
    <row r="18" spans="1:9" x14ac:dyDescent="0.2">
      <c r="A18" s="1" t="s">
        <v>33</v>
      </c>
      <c r="B18" s="2"/>
    </row>
    <row r="19" spans="1:9" x14ac:dyDescent="0.2">
      <c r="A19" s="1"/>
      <c r="B19" s="2"/>
    </row>
    <row r="20" spans="1:9" x14ac:dyDescent="0.2">
      <c r="A20" s="1"/>
      <c r="B20" s="2"/>
    </row>
    <row r="21" spans="1:9" x14ac:dyDescent="0.2">
      <c r="A21" s="1"/>
      <c r="B21" s="2"/>
      <c r="D21" s="3" t="s">
        <v>34</v>
      </c>
      <c r="E21" s="3" t="s">
        <v>5</v>
      </c>
    </row>
    <row r="22" spans="1:9" x14ac:dyDescent="0.2">
      <c r="A22" s="1"/>
      <c r="B22" s="2"/>
    </row>
    <row r="23" spans="1:9" x14ac:dyDescent="0.2">
      <c r="A23" s="1"/>
      <c r="B23" s="2"/>
    </row>
    <row r="24" spans="1:9" x14ac:dyDescent="0.2">
      <c r="A24" s="1" t="s">
        <v>35</v>
      </c>
      <c r="B24" s="2" t="s">
        <v>36</v>
      </c>
      <c r="C24" s="3" t="s">
        <v>37</v>
      </c>
      <c r="D24" s="3" t="s">
        <v>38</v>
      </c>
      <c r="F24" s="3" t="s">
        <v>39</v>
      </c>
      <c r="I24" s="3" t="s">
        <v>40</v>
      </c>
    </row>
    <row r="25" spans="1:9" x14ac:dyDescent="0.2">
      <c r="A25" s="1"/>
      <c r="B25" s="2"/>
      <c r="D25" s="3" t="s">
        <v>41</v>
      </c>
    </row>
    <row r="26" spans="1:9" x14ac:dyDescent="0.2">
      <c r="A26" s="1"/>
      <c r="B26" s="2"/>
      <c r="D26" s="3" t="s">
        <v>42</v>
      </c>
    </row>
    <row r="27" spans="1:9" x14ac:dyDescent="0.2">
      <c r="A27" s="1"/>
      <c r="B27" s="2"/>
    </row>
    <row r="28" spans="1:9" x14ac:dyDescent="0.2">
      <c r="A28" s="1"/>
      <c r="B28" s="2"/>
      <c r="C28" s="3" t="s">
        <v>43</v>
      </c>
      <c r="D28" s="3" t="s">
        <v>44</v>
      </c>
      <c r="F28" s="3" t="s">
        <v>45</v>
      </c>
      <c r="I28" s="3" t="s">
        <v>46</v>
      </c>
    </row>
    <row r="29" spans="1:9" x14ac:dyDescent="0.2">
      <c r="A29" s="1"/>
      <c r="B29" s="2"/>
      <c r="D29" s="3" t="s">
        <v>47</v>
      </c>
    </row>
    <row r="30" spans="1:9" x14ac:dyDescent="0.2">
      <c r="A30" s="1"/>
      <c r="B30" s="2"/>
      <c r="D30" s="3" t="s">
        <v>42</v>
      </c>
    </row>
    <row r="31" spans="1:9" x14ac:dyDescent="0.2">
      <c r="A31" s="1"/>
      <c r="B31" s="2"/>
    </row>
    <row r="32" spans="1:9" x14ac:dyDescent="0.2">
      <c r="A32" s="1"/>
      <c r="B32" s="2"/>
      <c r="C32" s="3" t="s">
        <v>48</v>
      </c>
      <c r="D32" s="3" t="s">
        <v>49</v>
      </c>
      <c r="F32" s="3" t="s">
        <v>50</v>
      </c>
      <c r="I32" s="3" t="s">
        <v>51</v>
      </c>
    </row>
    <row r="33" spans="1:5" x14ac:dyDescent="0.2">
      <c r="A33" s="1"/>
      <c r="B33" s="2"/>
      <c r="D33" s="3" t="s">
        <v>52</v>
      </c>
    </row>
    <row r="34" spans="1:5" x14ac:dyDescent="0.2">
      <c r="A34" s="1"/>
      <c r="B34" s="2"/>
      <c r="D34" s="3" t="s">
        <v>42</v>
      </c>
    </row>
    <row r="35" spans="1:5" x14ac:dyDescent="0.2">
      <c r="A35" s="1"/>
      <c r="B35" s="2"/>
    </row>
    <row r="36" spans="1:5" x14ac:dyDescent="0.2">
      <c r="A36" s="1" t="s">
        <v>53</v>
      </c>
      <c r="B36" s="2" t="s">
        <v>54</v>
      </c>
      <c r="C36" s="3" t="s">
        <v>55</v>
      </c>
      <c r="D36" s="3" t="s">
        <v>56</v>
      </c>
    </row>
    <row r="37" spans="1:5" x14ac:dyDescent="0.2">
      <c r="A37" s="1"/>
      <c r="B37" s="2"/>
      <c r="C37" s="3" t="s">
        <v>57</v>
      </c>
      <c r="D37" s="3" t="s">
        <v>58</v>
      </c>
      <c r="E37" s="3" t="s">
        <v>59</v>
      </c>
    </row>
    <row r="38" spans="1:5" x14ac:dyDescent="0.2">
      <c r="A38" s="1"/>
      <c r="B38" s="2"/>
      <c r="D38" s="3" t="s">
        <v>60</v>
      </c>
      <c r="E38" s="3" t="s">
        <v>61</v>
      </c>
    </row>
    <row r="39" spans="1:5" x14ac:dyDescent="0.2">
      <c r="A39" s="1"/>
      <c r="B39" s="2"/>
    </row>
    <row r="40" spans="1:5" x14ac:dyDescent="0.2">
      <c r="A40" s="1"/>
      <c r="B40" s="2"/>
    </row>
    <row r="41" spans="1:5" x14ac:dyDescent="0.2">
      <c r="A41" s="1" t="s">
        <v>62</v>
      </c>
      <c r="B41" s="2"/>
    </row>
    <row r="42" spans="1:5" x14ac:dyDescent="0.2">
      <c r="A42" s="1" t="s">
        <v>63</v>
      </c>
      <c r="B42" s="2"/>
    </row>
    <row r="43" spans="1:5" x14ac:dyDescent="0.2">
      <c r="A43" s="1" t="s">
        <v>64</v>
      </c>
      <c r="B43" s="2"/>
      <c r="C43" s="3" t="s">
        <v>65</v>
      </c>
    </row>
    <row r="44" spans="1:5" x14ac:dyDescent="0.2">
      <c r="A44" s="1" t="s">
        <v>66</v>
      </c>
      <c r="B44" s="2"/>
      <c r="C44" s="3" t="s">
        <v>67</v>
      </c>
    </row>
    <row r="45" spans="1:5" x14ac:dyDescent="0.2">
      <c r="A45" s="1" t="s">
        <v>68</v>
      </c>
      <c r="B45" s="2"/>
      <c r="C45" s="3" t="s">
        <v>69</v>
      </c>
    </row>
    <row r="46" spans="1:5" x14ac:dyDescent="0.2">
      <c r="A46" s="1"/>
      <c r="B46" s="2"/>
      <c r="C46" s="3" t="s">
        <v>70</v>
      </c>
    </row>
    <row r="47" spans="1:5" x14ac:dyDescent="0.2">
      <c r="A47" s="1"/>
      <c r="B47" s="2"/>
      <c r="C47" s="3" t="s">
        <v>71</v>
      </c>
    </row>
    <row r="48" spans="1:5" x14ac:dyDescent="0.2">
      <c r="A48" s="1" t="s">
        <v>72</v>
      </c>
      <c r="B48" s="2"/>
      <c r="C48" s="3" t="s">
        <v>73</v>
      </c>
    </row>
    <row r="49" spans="1:5" x14ac:dyDescent="0.2">
      <c r="A49" s="1"/>
      <c r="B49" s="2"/>
    </row>
    <row r="50" spans="1:5" x14ac:dyDescent="0.2">
      <c r="A50" s="1"/>
      <c r="B50" s="2"/>
    </row>
    <row r="51" spans="1:5" x14ac:dyDescent="0.2">
      <c r="A51" s="1"/>
      <c r="B51" s="2"/>
    </row>
    <row r="52" spans="1:5" x14ac:dyDescent="0.2">
      <c r="A52" s="1" t="s">
        <v>74</v>
      </c>
      <c r="B52" s="2"/>
    </row>
    <row r="53" spans="1:5" x14ac:dyDescent="0.2">
      <c r="A53" s="1" t="s">
        <v>75</v>
      </c>
      <c r="B53" s="2"/>
      <c r="C53" s="3" t="s">
        <v>76</v>
      </c>
    </row>
    <row r="54" spans="1:5" x14ac:dyDescent="0.2">
      <c r="A54" s="1" t="s">
        <v>77</v>
      </c>
      <c r="C54" s="2" t="s">
        <v>78</v>
      </c>
    </row>
    <row r="55" spans="1:5" x14ac:dyDescent="0.2">
      <c r="A55" s="1" t="s">
        <v>79</v>
      </c>
      <c r="B55" s="2" t="s">
        <v>80</v>
      </c>
      <c r="C55" s="1" t="s">
        <v>81</v>
      </c>
      <c r="E55" s="4" t="s">
        <v>82</v>
      </c>
    </row>
    <row r="56" spans="1:5" x14ac:dyDescent="0.2">
      <c r="A56" s="1" t="s">
        <v>83</v>
      </c>
      <c r="B56" s="2"/>
    </row>
    <row r="57" spans="1:5" x14ac:dyDescent="0.2">
      <c r="A57" s="1"/>
      <c r="B57" s="2"/>
    </row>
    <row r="58" spans="1:5" x14ac:dyDescent="0.2">
      <c r="A58" s="1"/>
      <c r="B58" s="2"/>
    </row>
    <row r="59" spans="1:5" x14ac:dyDescent="0.2">
      <c r="A59" s="1" t="s">
        <v>84</v>
      </c>
      <c r="B59" s="2"/>
    </row>
    <row r="60" spans="1:5" x14ac:dyDescent="0.2">
      <c r="A60" s="1" t="s">
        <v>85</v>
      </c>
      <c r="B60" s="2"/>
    </row>
    <row r="61" spans="1:5" x14ac:dyDescent="0.2">
      <c r="A61" s="1" t="s">
        <v>86</v>
      </c>
      <c r="B61" s="2"/>
    </row>
    <row r="62" spans="1:5" x14ac:dyDescent="0.2">
      <c r="A62" s="1" t="s">
        <v>87</v>
      </c>
      <c r="B62" s="2" t="s">
        <v>88</v>
      </c>
    </row>
    <row r="63" spans="1:5" x14ac:dyDescent="0.2">
      <c r="A63" s="1"/>
      <c r="B63" s="2" t="s">
        <v>89</v>
      </c>
    </row>
    <row r="64" spans="1:5" x14ac:dyDescent="0.2">
      <c r="A64" s="1"/>
      <c r="B64" s="2" t="s">
        <v>90</v>
      </c>
    </row>
    <row r="65" spans="1:3" x14ac:dyDescent="0.2">
      <c r="A65" s="1"/>
      <c r="B65" s="2" t="s">
        <v>91</v>
      </c>
    </row>
    <row r="66" spans="1:3" x14ac:dyDescent="0.2">
      <c r="A66" s="1"/>
    </row>
    <row r="67" spans="1:3" x14ac:dyDescent="0.2">
      <c r="A67" s="1"/>
      <c r="B67" s="2"/>
    </row>
    <row r="68" spans="1:3" x14ac:dyDescent="0.2">
      <c r="A68" s="1"/>
      <c r="B68" s="2" t="s">
        <v>92</v>
      </c>
      <c r="C68" s="3" t="s">
        <v>93</v>
      </c>
    </row>
    <row r="69" spans="1:3" x14ac:dyDescent="0.2">
      <c r="A69" s="1"/>
      <c r="B69" s="2"/>
    </row>
    <row r="70" spans="1:3" x14ac:dyDescent="0.2">
      <c r="A70" s="1"/>
      <c r="B70" s="2"/>
    </row>
    <row r="71" spans="1:3" x14ac:dyDescent="0.2">
      <c r="A71" s="1"/>
      <c r="B71" s="2"/>
    </row>
    <row r="72" spans="1:3" x14ac:dyDescent="0.2">
      <c r="A72" s="1"/>
      <c r="B72" s="2"/>
    </row>
    <row r="73" spans="1:3" x14ac:dyDescent="0.2">
      <c r="A73" s="1"/>
      <c r="B73" s="2"/>
    </row>
    <row r="74" spans="1:3" x14ac:dyDescent="0.2">
      <c r="A74" s="1"/>
      <c r="B74" s="2"/>
    </row>
    <row r="75" spans="1:3" x14ac:dyDescent="0.2">
      <c r="A75" s="1"/>
      <c r="B75" s="2"/>
    </row>
    <row r="76" spans="1:3" x14ac:dyDescent="0.2">
      <c r="A76" s="1"/>
      <c r="B76" s="2"/>
    </row>
    <row r="77" spans="1:3" x14ac:dyDescent="0.2">
      <c r="A77" s="1"/>
      <c r="B77" s="2"/>
    </row>
    <row r="78" spans="1:3" x14ac:dyDescent="0.2">
      <c r="A78" s="1"/>
      <c r="B78" s="2"/>
    </row>
    <row r="79" spans="1:3" x14ac:dyDescent="0.2">
      <c r="A79" s="1"/>
      <c r="B79" s="2"/>
    </row>
    <row r="80" spans="1:3" x14ac:dyDescent="0.2">
      <c r="A80" s="1"/>
      <c r="B80" s="2"/>
    </row>
    <row r="81" spans="1:2" x14ac:dyDescent="0.2">
      <c r="A81" s="1"/>
      <c r="B81" s="2"/>
    </row>
    <row r="82" spans="1:2" x14ac:dyDescent="0.2">
      <c r="A82" s="1"/>
      <c r="B82" s="2"/>
    </row>
    <row r="83" spans="1:2" x14ac:dyDescent="0.2">
      <c r="A83" s="1"/>
      <c r="B83" s="2"/>
    </row>
    <row r="84" spans="1:2" x14ac:dyDescent="0.2">
      <c r="A84" s="1"/>
      <c r="B84" s="2"/>
    </row>
    <row r="85" spans="1:2" x14ac:dyDescent="0.2">
      <c r="A85" s="1"/>
      <c r="B85" s="2"/>
    </row>
    <row r="86" spans="1:2" x14ac:dyDescent="0.2">
      <c r="A86" s="1"/>
      <c r="B86" s="2"/>
    </row>
    <row r="87" spans="1:2" x14ac:dyDescent="0.2">
      <c r="A87" s="1"/>
      <c r="B87" s="2"/>
    </row>
    <row r="88" spans="1:2" x14ac:dyDescent="0.2">
      <c r="A88" s="1"/>
      <c r="B88" s="2"/>
    </row>
    <row r="89" spans="1:2" x14ac:dyDescent="0.2">
      <c r="A89" s="1"/>
      <c r="B89" s="2"/>
    </row>
    <row r="90" spans="1:2" x14ac:dyDescent="0.2">
      <c r="A90" s="1"/>
      <c r="B90" s="2"/>
    </row>
    <row r="91" spans="1:2" x14ac:dyDescent="0.2">
      <c r="A91" s="1"/>
      <c r="B91" s="2"/>
    </row>
    <row r="92" spans="1:2" x14ac:dyDescent="0.2">
      <c r="A92" s="1"/>
      <c r="B92" s="2"/>
    </row>
    <row r="93" spans="1:2" x14ac:dyDescent="0.2">
      <c r="A93" s="1"/>
      <c r="B93" s="2"/>
    </row>
    <row r="94" spans="1:2" x14ac:dyDescent="0.2">
      <c r="A94" s="1"/>
      <c r="B94" s="2"/>
    </row>
    <row r="95" spans="1:2" x14ac:dyDescent="0.2">
      <c r="A95" s="1"/>
      <c r="B95" s="2"/>
    </row>
    <row r="96" spans="1:2" x14ac:dyDescent="0.2">
      <c r="A96" s="1"/>
      <c r="B96" s="2"/>
    </row>
    <row r="97" spans="1:2" x14ac:dyDescent="0.2">
      <c r="A97" s="1"/>
      <c r="B97" s="2"/>
    </row>
    <row r="98" spans="1:2" x14ac:dyDescent="0.2">
      <c r="A98" s="1"/>
      <c r="B98" s="2"/>
    </row>
    <row r="99" spans="1:2" x14ac:dyDescent="0.2">
      <c r="A99" s="1"/>
      <c r="B99" s="2"/>
    </row>
    <row r="100" spans="1:2" x14ac:dyDescent="0.2">
      <c r="A100" s="1"/>
      <c r="B100" s="2"/>
    </row>
    <row r="101" spans="1:2" x14ac:dyDescent="0.2">
      <c r="A101" s="1"/>
      <c r="B101" s="2"/>
    </row>
    <row r="102" spans="1:2" x14ac:dyDescent="0.2">
      <c r="A102" s="1"/>
      <c r="B102" s="2"/>
    </row>
    <row r="103" spans="1:2" x14ac:dyDescent="0.2">
      <c r="A103" s="1"/>
      <c r="B103" s="2"/>
    </row>
    <row r="104" spans="1:2" x14ac:dyDescent="0.2">
      <c r="A104" s="1"/>
      <c r="B104" s="2"/>
    </row>
    <row r="105" spans="1:2" x14ac:dyDescent="0.2">
      <c r="A105" s="1"/>
      <c r="B105" s="2"/>
    </row>
    <row r="106" spans="1:2" x14ac:dyDescent="0.2">
      <c r="A106" s="1"/>
      <c r="B106" s="2"/>
    </row>
    <row r="107" spans="1:2" x14ac:dyDescent="0.2">
      <c r="A107" s="1"/>
      <c r="B107" s="2"/>
    </row>
    <row r="108" spans="1:2" x14ac:dyDescent="0.2">
      <c r="A108" s="1"/>
      <c r="B108" s="2"/>
    </row>
    <row r="109" spans="1:2" x14ac:dyDescent="0.2">
      <c r="A109" s="1"/>
      <c r="B109" s="2"/>
    </row>
    <row r="110" spans="1:2" x14ac:dyDescent="0.2">
      <c r="A110" s="1"/>
      <c r="B110" s="2"/>
    </row>
    <row r="111" spans="1:2" x14ac:dyDescent="0.2">
      <c r="A111" s="1"/>
      <c r="B111" s="2"/>
    </row>
    <row r="112" spans="1:2" x14ac:dyDescent="0.2">
      <c r="A112" s="1"/>
      <c r="B112" s="2"/>
    </row>
    <row r="113" spans="1:2" x14ac:dyDescent="0.2">
      <c r="A113" s="1"/>
      <c r="B113" s="2"/>
    </row>
    <row r="114" spans="1:2" x14ac:dyDescent="0.2">
      <c r="A114" s="1"/>
      <c r="B114" s="2"/>
    </row>
    <row r="115" spans="1:2" x14ac:dyDescent="0.2">
      <c r="A115" s="1"/>
      <c r="B115" s="2"/>
    </row>
    <row r="116" spans="1:2" x14ac:dyDescent="0.2">
      <c r="A116" s="1"/>
      <c r="B116" s="2"/>
    </row>
    <row r="117" spans="1:2" x14ac:dyDescent="0.2">
      <c r="A117" s="1"/>
      <c r="B117" s="2"/>
    </row>
    <row r="118" spans="1:2" x14ac:dyDescent="0.2">
      <c r="A118" s="1"/>
      <c r="B118" s="2"/>
    </row>
    <row r="119" spans="1:2" x14ac:dyDescent="0.2">
      <c r="A119" s="1"/>
      <c r="B119" s="2"/>
    </row>
    <row r="120" spans="1:2" x14ac:dyDescent="0.2">
      <c r="A120" s="1"/>
      <c r="B120" s="2"/>
    </row>
    <row r="121" spans="1:2" x14ac:dyDescent="0.2">
      <c r="A121" s="1"/>
      <c r="B121" s="2"/>
    </row>
    <row r="122" spans="1:2" x14ac:dyDescent="0.2">
      <c r="A122" s="1"/>
      <c r="B122" s="2"/>
    </row>
    <row r="123" spans="1:2" x14ac:dyDescent="0.2">
      <c r="A123" s="1"/>
      <c r="B123" s="2"/>
    </row>
    <row r="124" spans="1:2" x14ac:dyDescent="0.2">
      <c r="A124" s="1"/>
      <c r="B124" s="2"/>
    </row>
    <row r="125" spans="1:2" x14ac:dyDescent="0.2">
      <c r="A125" s="1"/>
      <c r="B125" s="2"/>
    </row>
    <row r="126" spans="1:2" x14ac:dyDescent="0.2">
      <c r="A126" s="1"/>
      <c r="B126" s="2"/>
    </row>
    <row r="127" spans="1:2" x14ac:dyDescent="0.2">
      <c r="A127" s="1"/>
      <c r="B127" s="2"/>
    </row>
    <row r="128" spans="1:2" x14ac:dyDescent="0.2">
      <c r="A128" s="1"/>
      <c r="B128" s="2"/>
    </row>
    <row r="129" spans="1:2" x14ac:dyDescent="0.2">
      <c r="A129" s="1"/>
      <c r="B129" s="2"/>
    </row>
    <row r="130" spans="1:2" x14ac:dyDescent="0.2">
      <c r="A130" s="1"/>
      <c r="B130" s="2"/>
    </row>
    <row r="131" spans="1:2" x14ac:dyDescent="0.2">
      <c r="A131" s="1"/>
      <c r="B131" s="2"/>
    </row>
    <row r="132" spans="1:2" x14ac:dyDescent="0.2">
      <c r="A132" s="1"/>
      <c r="B132" s="2"/>
    </row>
    <row r="133" spans="1:2" x14ac:dyDescent="0.2">
      <c r="A133" s="1"/>
      <c r="B133" s="2"/>
    </row>
    <row r="134" spans="1:2" x14ac:dyDescent="0.2">
      <c r="A134" s="1"/>
      <c r="B134" s="2"/>
    </row>
    <row r="135" spans="1:2" x14ac:dyDescent="0.2">
      <c r="A135" s="1"/>
      <c r="B135" s="2"/>
    </row>
    <row r="136" spans="1:2" x14ac:dyDescent="0.2">
      <c r="A136" s="1"/>
      <c r="B136" s="2"/>
    </row>
    <row r="137" spans="1:2" x14ac:dyDescent="0.2">
      <c r="A137" s="1"/>
      <c r="B137" s="2"/>
    </row>
    <row r="138" spans="1:2" x14ac:dyDescent="0.2">
      <c r="A138" s="1"/>
      <c r="B138" s="2"/>
    </row>
    <row r="139" spans="1:2" x14ac:dyDescent="0.2">
      <c r="A139" s="1"/>
      <c r="B139" s="2"/>
    </row>
    <row r="140" spans="1:2" x14ac:dyDescent="0.2">
      <c r="A140" s="1"/>
      <c r="B140" s="2"/>
    </row>
    <row r="141" spans="1:2" x14ac:dyDescent="0.2">
      <c r="A141" s="1"/>
      <c r="B141" s="2"/>
    </row>
    <row r="142" spans="1:2" x14ac:dyDescent="0.2">
      <c r="A142" s="1"/>
      <c r="B142" s="2"/>
    </row>
    <row r="143" spans="1:2" x14ac:dyDescent="0.2">
      <c r="A143" s="1"/>
      <c r="B143" s="2"/>
    </row>
    <row r="144" spans="1:2" x14ac:dyDescent="0.2">
      <c r="A144" s="1"/>
      <c r="B144" s="2"/>
    </row>
    <row r="145" spans="1:2" x14ac:dyDescent="0.2">
      <c r="A145" s="1"/>
      <c r="B145" s="2"/>
    </row>
    <row r="146" spans="1:2" x14ac:dyDescent="0.2">
      <c r="A146" s="1"/>
      <c r="B146" s="2"/>
    </row>
    <row r="147" spans="1:2" x14ac:dyDescent="0.2">
      <c r="A147" s="1"/>
      <c r="B147" s="2"/>
    </row>
    <row r="148" spans="1:2" x14ac:dyDescent="0.2">
      <c r="A148" s="1"/>
      <c r="B148" s="2"/>
    </row>
    <row r="149" spans="1:2" x14ac:dyDescent="0.2">
      <c r="A149" s="1"/>
      <c r="B149" s="2"/>
    </row>
    <row r="150" spans="1:2" x14ac:dyDescent="0.2">
      <c r="A150" s="1"/>
      <c r="B150" s="2"/>
    </row>
    <row r="151" spans="1:2" x14ac:dyDescent="0.2">
      <c r="A151" s="1"/>
      <c r="B151" s="2"/>
    </row>
    <row r="152" spans="1:2" x14ac:dyDescent="0.2">
      <c r="A152" s="1"/>
      <c r="B152" s="2"/>
    </row>
    <row r="153" spans="1:2" x14ac:dyDescent="0.2">
      <c r="A153" s="1"/>
      <c r="B153" s="2"/>
    </row>
    <row r="154" spans="1:2" x14ac:dyDescent="0.2">
      <c r="A154" s="1"/>
      <c r="B154" s="2"/>
    </row>
    <row r="155" spans="1:2" x14ac:dyDescent="0.2">
      <c r="A155" s="1"/>
      <c r="B155" s="2"/>
    </row>
    <row r="156" spans="1:2" x14ac:dyDescent="0.2">
      <c r="A156" s="1"/>
      <c r="B156" s="2"/>
    </row>
    <row r="157" spans="1:2" x14ac:dyDescent="0.2">
      <c r="A157" s="1"/>
      <c r="B157" s="2"/>
    </row>
    <row r="158" spans="1:2" x14ac:dyDescent="0.2">
      <c r="A158" s="1"/>
      <c r="B158" s="2"/>
    </row>
    <row r="159" spans="1:2" x14ac:dyDescent="0.2">
      <c r="A159" s="1"/>
      <c r="B159" s="2"/>
    </row>
    <row r="160" spans="1:2" x14ac:dyDescent="0.2">
      <c r="A160" s="1"/>
      <c r="B160" s="2"/>
    </row>
    <row r="161" spans="1:2" x14ac:dyDescent="0.2">
      <c r="A161" s="1"/>
      <c r="B161" s="2"/>
    </row>
    <row r="162" spans="1:2" x14ac:dyDescent="0.2">
      <c r="A162" s="1"/>
      <c r="B162" s="2"/>
    </row>
    <row r="163" spans="1:2" x14ac:dyDescent="0.2">
      <c r="A163" s="1"/>
      <c r="B163" s="2"/>
    </row>
    <row r="164" spans="1:2" x14ac:dyDescent="0.2">
      <c r="A164" s="1"/>
      <c r="B164" s="2"/>
    </row>
    <row r="165" spans="1:2" x14ac:dyDescent="0.2">
      <c r="A165" s="1"/>
      <c r="B165" s="2"/>
    </row>
    <row r="166" spans="1:2" x14ac:dyDescent="0.2">
      <c r="A166" s="1"/>
      <c r="B166" s="2"/>
    </row>
    <row r="167" spans="1:2" x14ac:dyDescent="0.2">
      <c r="A167" s="1"/>
      <c r="B167" s="2"/>
    </row>
    <row r="168" spans="1:2" x14ac:dyDescent="0.2">
      <c r="A168" s="1"/>
      <c r="B168" s="2"/>
    </row>
    <row r="169" spans="1:2" x14ac:dyDescent="0.2">
      <c r="A169" s="1"/>
      <c r="B169" s="2"/>
    </row>
    <row r="170" spans="1:2" x14ac:dyDescent="0.2">
      <c r="A170" s="1"/>
      <c r="B170" s="2"/>
    </row>
    <row r="171" spans="1:2" x14ac:dyDescent="0.2">
      <c r="A171" s="1"/>
      <c r="B171" s="2"/>
    </row>
    <row r="172" spans="1:2" x14ac:dyDescent="0.2">
      <c r="A172" s="1"/>
      <c r="B172" s="2"/>
    </row>
    <row r="173" spans="1:2" x14ac:dyDescent="0.2">
      <c r="A173" s="1"/>
      <c r="B173" s="2"/>
    </row>
    <row r="174" spans="1:2" x14ac:dyDescent="0.2">
      <c r="A174" s="1"/>
      <c r="B174" s="2"/>
    </row>
    <row r="175" spans="1:2" x14ac:dyDescent="0.2">
      <c r="A175" s="1"/>
      <c r="B175" s="2"/>
    </row>
    <row r="176" spans="1:2" x14ac:dyDescent="0.2">
      <c r="A176" s="1"/>
      <c r="B176" s="2"/>
    </row>
    <row r="177" spans="1:2" x14ac:dyDescent="0.2">
      <c r="A177" s="1"/>
      <c r="B177" s="2"/>
    </row>
    <row r="178" spans="1:2" x14ac:dyDescent="0.2">
      <c r="A178" s="1"/>
      <c r="B178" s="2"/>
    </row>
    <row r="179" spans="1:2" x14ac:dyDescent="0.2">
      <c r="A179" s="1"/>
      <c r="B179" s="2"/>
    </row>
    <row r="180" spans="1:2" x14ac:dyDescent="0.2">
      <c r="A180" s="1"/>
      <c r="B180" s="2"/>
    </row>
    <row r="181" spans="1:2" x14ac:dyDescent="0.2">
      <c r="A181" s="1"/>
      <c r="B181" s="2"/>
    </row>
    <row r="182" spans="1:2" x14ac:dyDescent="0.2">
      <c r="A182" s="1"/>
      <c r="B182" s="2"/>
    </row>
    <row r="183" spans="1:2" x14ac:dyDescent="0.2">
      <c r="A183" s="1"/>
      <c r="B183" s="2"/>
    </row>
    <row r="184" spans="1:2" x14ac:dyDescent="0.2">
      <c r="A184" s="1"/>
      <c r="B184" s="2"/>
    </row>
    <row r="185" spans="1:2" x14ac:dyDescent="0.2">
      <c r="A185" s="1"/>
      <c r="B185" s="2"/>
    </row>
    <row r="186" spans="1:2" x14ac:dyDescent="0.2">
      <c r="A186" s="1"/>
      <c r="B186" s="2"/>
    </row>
    <row r="187" spans="1:2" x14ac:dyDescent="0.2">
      <c r="A187" s="1"/>
      <c r="B187" s="2"/>
    </row>
    <row r="188" spans="1:2" x14ac:dyDescent="0.2">
      <c r="A188" s="1"/>
      <c r="B188" s="2"/>
    </row>
    <row r="189" spans="1:2" x14ac:dyDescent="0.2">
      <c r="A189" s="1"/>
      <c r="B189" s="2"/>
    </row>
    <row r="190" spans="1:2" x14ac:dyDescent="0.2">
      <c r="A190" s="1"/>
      <c r="B190" s="2"/>
    </row>
    <row r="191" spans="1:2" x14ac:dyDescent="0.2">
      <c r="A191" s="1"/>
      <c r="B191" s="2"/>
    </row>
    <row r="192" spans="1:2" x14ac:dyDescent="0.2">
      <c r="A192" s="1"/>
      <c r="B192" s="2"/>
    </row>
    <row r="193" spans="1:2" x14ac:dyDescent="0.2">
      <c r="A193" s="1"/>
      <c r="B193" s="2"/>
    </row>
    <row r="194" spans="1:2" x14ac:dyDescent="0.2">
      <c r="A194" s="1"/>
      <c r="B194" s="2"/>
    </row>
    <row r="195" spans="1:2" x14ac:dyDescent="0.2">
      <c r="A195" s="1"/>
      <c r="B195" s="2"/>
    </row>
    <row r="196" spans="1:2" x14ac:dyDescent="0.2">
      <c r="A196" s="1"/>
      <c r="B196" s="2"/>
    </row>
    <row r="197" spans="1:2" x14ac:dyDescent="0.2">
      <c r="A197" s="1"/>
      <c r="B197" s="2"/>
    </row>
    <row r="198" spans="1:2" x14ac:dyDescent="0.2">
      <c r="A198" s="1"/>
      <c r="B198" s="2"/>
    </row>
    <row r="199" spans="1:2" x14ac:dyDescent="0.2">
      <c r="A199" s="1"/>
      <c r="B199" s="2"/>
    </row>
    <row r="200" spans="1:2" x14ac:dyDescent="0.2">
      <c r="A200" s="1"/>
      <c r="B200" s="2"/>
    </row>
    <row r="201" spans="1:2" x14ac:dyDescent="0.2">
      <c r="A201" s="1"/>
      <c r="B201" s="2"/>
    </row>
    <row r="202" spans="1:2" x14ac:dyDescent="0.2">
      <c r="A202" s="1"/>
      <c r="B202" s="2"/>
    </row>
    <row r="203" spans="1:2" x14ac:dyDescent="0.2">
      <c r="A203" s="1"/>
      <c r="B203" s="2"/>
    </row>
    <row r="204" spans="1:2" x14ac:dyDescent="0.2">
      <c r="A204" s="1"/>
      <c r="B204" s="2"/>
    </row>
    <row r="205" spans="1:2" x14ac:dyDescent="0.2">
      <c r="A205" s="1"/>
      <c r="B205" s="2"/>
    </row>
    <row r="206" spans="1:2" x14ac:dyDescent="0.2">
      <c r="A206" s="1"/>
      <c r="B206" s="2"/>
    </row>
    <row r="207" spans="1:2" x14ac:dyDescent="0.2">
      <c r="A207" s="1"/>
      <c r="B207" s="2"/>
    </row>
    <row r="208" spans="1:2" x14ac:dyDescent="0.2">
      <c r="A208" s="1"/>
      <c r="B208" s="2"/>
    </row>
    <row r="209" spans="1:2" x14ac:dyDescent="0.2">
      <c r="A209" s="1"/>
      <c r="B209" s="2"/>
    </row>
    <row r="210" spans="1:2" x14ac:dyDescent="0.2">
      <c r="A210" s="1"/>
      <c r="B210" s="2"/>
    </row>
    <row r="211" spans="1:2" x14ac:dyDescent="0.2">
      <c r="A211" s="1"/>
      <c r="B211" s="2"/>
    </row>
    <row r="212" spans="1:2" x14ac:dyDescent="0.2">
      <c r="A212" s="1"/>
      <c r="B212" s="2"/>
    </row>
    <row r="213" spans="1:2" x14ac:dyDescent="0.2">
      <c r="A213" s="1"/>
      <c r="B213" s="2"/>
    </row>
    <row r="214" spans="1:2" x14ac:dyDescent="0.2">
      <c r="A214" s="1"/>
      <c r="B214" s="2"/>
    </row>
    <row r="215" spans="1:2" x14ac:dyDescent="0.2">
      <c r="A215" s="1"/>
      <c r="B215" s="2"/>
    </row>
    <row r="216" spans="1:2" x14ac:dyDescent="0.2">
      <c r="A216" s="1"/>
      <c r="B216" s="2"/>
    </row>
    <row r="217" spans="1:2" x14ac:dyDescent="0.2">
      <c r="A217" s="1"/>
      <c r="B217" s="2"/>
    </row>
    <row r="218" spans="1:2" x14ac:dyDescent="0.2">
      <c r="A218" s="1"/>
      <c r="B218" s="2"/>
    </row>
    <row r="219" spans="1:2" x14ac:dyDescent="0.2">
      <c r="A219" s="1"/>
      <c r="B219" s="2"/>
    </row>
    <row r="220" spans="1:2" x14ac:dyDescent="0.2">
      <c r="A220" s="1"/>
      <c r="B220" s="2"/>
    </row>
    <row r="221" spans="1:2" x14ac:dyDescent="0.2">
      <c r="A221" s="1"/>
      <c r="B221" s="2"/>
    </row>
    <row r="222" spans="1:2" x14ac:dyDescent="0.2">
      <c r="A222" s="1"/>
      <c r="B222" s="2"/>
    </row>
    <row r="223" spans="1:2" x14ac:dyDescent="0.2">
      <c r="A223" s="1"/>
      <c r="B223" s="2"/>
    </row>
    <row r="224" spans="1:2" x14ac:dyDescent="0.2">
      <c r="A224" s="1"/>
      <c r="B224" s="2"/>
    </row>
    <row r="225" spans="1:2" x14ac:dyDescent="0.2">
      <c r="A225" s="1"/>
      <c r="B225" s="2"/>
    </row>
    <row r="226" spans="1:2" x14ac:dyDescent="0.2">
      <c r="A226" s="1"/>
      <c r="B226" s="2"/>
    </row>
    <row r="227" spans="1:2" x14ac:dyDescent="0.2">
      <c r="A227" s="1"/>
      <c r="B227" s="2"/>
    </row>
    <row r="228" spans="1:2" x14ac:dyDescent="0.2">
      <c r="A228" s="1"/>
      <c r="B228" s="2"/>
    </row>
    <row r="229" spans="1:2" x14ac:dyDescent="0.2">
      <c r="A229" s="1"/>
      <c r="B229" s="2"/>
    </row>
    <row r="230" spans="1:2" x14ac:dyDescent="0.2">
      <c r="A230" s="1"/>
      <c r="B230" s="2"/>
    </row>
    <row r="231" spans="1:2" x14ac:dyDescent="0.2">
      <c r="A231" s="1"/>
      <c r="B231" s="2"/>
    </row>
    <row r="232" spans="1:2" x14ac:dyDescent="0.2">
      <c r="A232" s="1"/>
      <c r="B232" s="2"/>
    </row>
    <row r="233" spans="1:2" x14ac:dyDescent="0.2">
      <c r="A233" s="1"/>
      <c r="B233" s="2"/>
    </row>
    <row r="234" spans="1:2" x14ac:dyDescent="0.2">
      <c r="A234" s="1"/>
      <c r="B234" s="2"/>
    </row>
    <row r="235" spans="1:2" x14ac:dyDescent="0.2">
      <c r="A235" s="1"/>
      <c r="B235" s="2"/>
    </row>
    <row r="236" spans="1:2" x14ac:dyDescent="0.2">
      <c r="A236" s="1"/>
      <c r="B236" s="2"/>
    </row>
    <row r="237" spans="1:2" x14ac:dyDescent="0.2">
      <c r="A237" s="1"/>
      <c r="B237" s="2"/>
    </row>
    <row r="238" spans="1:2" x14ac:dyDescent="0.2">
      <c r="A238" s="1"/>
      <c r="B238" s="2"/>
    </row>
    <row r="239" spans="1:2" x14ac:dyDescent="0.2">
      <c r="A239" s="1"/>
      <c r="B239" s="2"/>
    </row>
    <row r="240" spans="1:2" x14ac:dyDescent="0.2">
      <c r="A240" s="1"/>
      <c r="B240" s="2"/>
    </row>
    <row r="241" spans="1:2" x14ac:dyDescent="0.2">
      <c r="A241" s="1"/>
      <c r="B241" s="2"/>
    </row>
    <row r="242" spans="1:2" x14ac:dyDescent="0.2">
      <c r="A242" s="1"/>
      <c r="B242" s="2"/>
    </row>
    <row r="243" spans="1:2" x14ac:dyDescent="0.2">
      <c r="A243" s="1"/>
      <c r="B243" s="2"/>
    </row>
    <row r="244" spans="1:2" x14ac:dyDescent="0.2">
      <c r="A244" s="1"/>
      <c r="B244" s="2"/>
    </row>
    <row r="245" spans="1:2" x14ac:dyDescent="0.2">
      <c r="A245" s="1"/>
      <c r="B245" s="2"/>
    </row>
    <row r="246" spans="1:2" x14ac:dyDescent="0.2">
      <c r="A246" s="1"/>
      <c r="B246" s="2"/>
    </row>
    <row r="247" spans="1:2" x14ac:dyDescent="0.2">
      <c r="A247" s="1"/>
      <c r="B247" s="2"/>
    </row>
    <row r="248" spans="1:2" x14ac:dyDescent="0.2">
      <c r="A248" s="1"/>
      <c r="B248" s="2"/>
    </row>
    <row r="249" spans="1:2" x14ac:dyDescent="0.2">
      <c r="A249" s="1"/>
      <c r="B249" s="2"/>
    </row>
    <row r="250" spans="1:2" x14ac:dyDescent="0.2">
      <c r="A250" s="1"/>
      <c r="B250" s="2"/>
    </row>
    <row r="251" spans="1:2" x14ac:dyDescent="0.2">
      <c r="A251" s="1"/>
      <c r="B251" s="2"/>
    </row>
    <row r="252" spans="1:2" x14ac:dyDescent="0.2">
      <c r="A252" s="1"/>
      <c r="B252" s="2"/>
    </row>
    <row r="253" spans="1:2" x14ac:dyDescent="0.2">
      <c r="A253" s="1"/>
      <c r="B253" s="2"/>
    </row>
    <row r="254" spans="1:2" x14ac:dyDescent="0.2">
      <c r="A254" s="1"/>
      <c r="B254" s="2"/>
    </row>
    <row r="255" spans="1:2" x14ac:dyDescent="0.2">
      <c r="A255" s="1"/>
      <c r="B255" s="2"/>
    </row>
    <row r="256" spans="1:2" x14ac:dyDescent="0.2">
      <c r="A256" s="1"/>
      <c r="B256" s="2"/>
    </row>
    <row r="257" spans="1:2" x14ac:dyDescent="0.2">
      <c r="A257" s="1"/>
      <c r="B257" s="2"/>
    </row>
    <row r="258" spans="1:2" x14ac:dyDescent="0.2">
      <c r="A258" s="1"/>
      <c r="B258" s="2"/>
    </row>
    <row r="259" spans="1:2" x14ac:dyDescent="0.2">
      <c r="A259" s="1"/>
      <c r="B259" s="2"/>
    </row>
    <row r="260" spans="1:2" x14ac:dyDescent="0.2">
      <c r="A260" s="1"/>
      <c r="B260" s="2"/>
    </row>
    <row r="261" spans="1:2" x14ac:dyDescent="0.2">
      <c r="A261" s="1"/>
      <c r="B261" s="2"/>
    </row>
    <row r="262" spans="1:2" x14ac:dyDescent="0.2">
      <c r="A262" s="1"/>
      <c r="B262" s="2"/>
    </row>
    <row r="263" spans="1:2" x14ac:dyDescent="0.2">
      <c r="A263" s="1"/>
      <c r="B263" s="2"/>
    </row>
    <row r="264" spans="1:2" x14ac:dyDescent="0.2">
      <c r="A264" s="1"/>
      <c r="B264" s="2"/>
    </row>
    <row r="265" spans="1:2" x14ac:dyDescent="0.2">
      <c r="A265" s="1"/>
      <c r="B265" s="2"/>
    </row>
    <row r="266" spans="1:2" x14ac:dyDescent="0.2">
      <c r="A266" s="1"/>
      <c r="B266" s="2"/>
    </row>
    <row r="267" spans="1:2" x14ac:dyDescent="0.2">
      <c r="A267" s="1"/>
      <c r="B267" s="2"/>
    </row>
    <row r="268" spans="1:2" x14ac:dyDescent="0.2">
      <c r="A268" s="1"/>
      <c r="B268" s="2"/>
    </row>
    <row r="269" spans="1:2" x14ac:dyDescent="0.2">
      <c r="A269" s="1"/>
      <c r="B269" s="2"/>
    </row>
    <row r="270" spans="1:2" x14ac:dyDescent="0.2">
      <c r="A270" s="1"/>
      <c r="B270" s="2"/>
    </row>
    <row r="271" spans="1:2" x14ac:dyDescent="0.2">
      <c r="A271" s="1"/>
      <c r="B271" s="2"/>
    </row>
    <row r="272" spans="1:2" x14ac:dyDescent="0.2">
      <c r="A272" s="1"/>
      <c r="B272" s="2"/>
    </row>
    <row r="273" spans="1:2" x14ac:dyDescent="0.2">
      <c r="A273" s="1"/>
      <c r="B273" s="2"/>
    </row>
    <row r="274" spans="1:2" x14ac:dyDescent="0.2">
      <c r="A274" s="1"/>
      <c r="B274" s="2"/>
    </row>
    <row r="275" spans="1:2" x14ac:dyDescent="0.2">
      <c r="A275" s="1"/>
      <c r="B275" s="2"/>
    </row>
    <row r="276" spans="1:2" x14ac:dyDescent="0.2">
      <c r="A276" s="1"/>
      <c r="B276" s="2"/>
    </row>
    <row r="277" spans="1:2" x14ac:dyDescent="0.2">
      <c r="A277" s="1"/>
      <c r="B277" s="2"/>
    </row>
    <row r="278" spans="1:2" x14ac:dyDescent="0.2">
      <c r="A278" s="1"/>
      <c r="B278" s="2"/>
    </row>
    <row r="279" spans="1:2" x14ac:dyDescent="0.2">
      <c r="A279" s="1"/>
      <c r="B279" s="2"/>
    </row>
    <row r="280" spans="1:2" x14ac:dyDescent="0.2">
      <c r="A280" s="1"/>
      <c r="B280" s="2"/>
    </row>
    <row r="281" spans="1:2" x14ac:dyDescent="0.2">
      <c r="A281" s="1"/>
      <c r="B281" s="2"/>
    </row>
    <row r="282" spans="1:2" x14ac:dyDescent="0.2">
      <c r="A282" s="1"/>
      <c r="B282" s="2"/>
    </row>
    <row r="283" spans="1:2" x14ac:dyDescent="0.2">
      <c r="A283" s="1"/>
      <c r="B283" s="2"/>
    </row>
    <row r="284" spans="1:2" x14ac:dyDescent="0.2">
      <c r="A284" s="1"/>
      <c r="B284" s="2"/>
    </row>
    <row r="285" spans="1:2" x14ac:dyDescent="0.2">
      <c r="A285" s="1"/>
      <c r="B285" s="2"/>
    </row>
    <row r="286" spans="1:2" x14ac:dyDescent="0.2">
      <c r="A286" s="1"/>
      <c r="B286" s="2"/>
    </row>
    <row r="287" spans="1:2" x14ac:dyDescent="0.2">
      <c r="A287" s="1"/>
      <c r="B287" s="2"/>
    </row>
    <row r="288" spans="1:2" x14ac:dyDescent="0.2">
      <c r="A288" s="1"/>
      <c r="B288" s="2"/>
    </row>
    <row r="289" spans="1:2" x14ac:dyDescent="0.2">
      <c r="A289" s="1"/>
      <c r="B289" s="2"/>
    </row>
    <row r="290" spans="1:2" x14ac:dyDescent="0.2">
      <c r="A290" s="1"/>
      <c r="B290" s="2"/>
    </row>
    <row r="291" spans="1:2" x14ac:dyDescent="0.2">
      <c r="A291" s="1"/>
      <c r="B291" s="2"/>
    </row>
    <row r="292" spans="1:2" x14ac:dyDescent="0.2">
      <c r="A292" s="1"/>
      <c r="B292" s="2"/>
    </row>
    <row r="293" spans="1:2" x14ac:dyDescent="0.2">
      <c r="A293" s="1"/>
      <c r="B293" s="2"/>
    </row>
    <row r="294" spans="1:2" x14ac:dyDescent="0.2">
      <c r="A294" s="1"/>
      <c r="B294" s="2"/>
    </row>
    <row r="295" spans="1:2" x14ac:dyDescent="0.2">
      <c r="A295" s="1"/>
      <c r="B295" s="2"/>
    </row>
    <row r="296" spans="1:2" x14ac:dyDescent="0.2">
      <c r="A296" s="1"/>
      <c r="B296" s="2"/>
    </row>
    <row r="297" spans="1:2" x14ac:dyDescent="0.2">
      <c r="A297" s="1"/>
      <c r="B297" s="2"/>
    </row>
    <row r="298" spans="1:2" x14ac:dyDescent="0.2">
      <c r="A298" s="1"/>
      <c r="B298" s="2"/>
    </row>
    <row r="299" spans="1:2" x14ac:dyDescent="0.2">
      <c r="A299" s="1"/>
      <c r="B299" s="2"/>
    </row>
    <row r="300" spans="1:2" x14ac:dyDescent="0.2">
      <c r="A300" s="1"/>
      <c r="B300" s="2"/>
    </row>
    <row r="301" spans="1:2" x14ac:dyDescent="0.2">
      <c r="A301" s="1"/>
      <c r="B301" s="2"/>
    </row>
    <row r="302" spans="1:2" x14ac:dyDescent="0.2">
      <c r="A302" s="1"/>
      <c r="B302" s="2"/>
    </row>
    <row r="303" spans="1:2" x14ac:dyDescent="0.2">
      <c r="A303" s="1"/>
      <c r="B303" s="2"/>
    </row>
    <row r="304" spans="1:2" x14ac:dyDescent="0.2">
      <c r="A304" s="1"/>
      <c r="B304" s="2"/>
    </row>
    <row r="305" spans="1:2" x14ac:dyDescent="0.2">
      <c r="A305" s="1"/>
      <c r="B305" s="2"/>
    </row>
    <row r="306" spans="1:2" x14ac:dyDescent="0.2">
      <c r="A306" s="1"/>
      <c r="B306" s="2"/>
    </row>
    <row r="307" spans="1:2" x14ac:dyDescent="0.2">
      <c r="A307" s="1"/>
      <c r="B307" s="2"/>
    </row>
    <row r="308" spans="1:2" x14ac:dyDescent="0.2">
      <c r="A308" s="1"/>
      <c r="B308" s="2"/>
    </row>
    <row r="309" spans="1:2" x14ac:dyDescent="0.2">
      <c r="A309" s="1"/>
      <c r="B309" s="2"/>
    </row>
    <row r="310" spans="1:2" x14ac:dyDescent="0.2">
      <c r="A310" s="1"/>
      <c r="B310" s="2"/>
    </row>
    <row r="311" spans="1:2" x14ac:dyDescent="0.2">
      <c r="A311" s="1"/>
      <c r="B311" s="2"/>
    </row>
    <row r="312" spans="1:2" x14ac:dyDescent="0.2">
      <c r="A312" s="1"/>
      <c r="B312" s="2"/>
    </row>
    <row r="313" spans="1:2" x14ac:dyDescent="0.2">
      <c r="A313" s="1"/>
      <c r="B313" s="2"/>
    </row>
    <row r="314" spans="1:2" x14ac:dyDescent="0.2">
      <c r="A314" s="1"/>
      <c r="B314" s="2"/>
    </row>
    <row r="315" spans="1:2" x14ac:dyDescent="0.2">
      <c r="A315" s="1"/>
      <c r="B315" s="2"/>
    </row>
    <row r="316" spans="1:2" x14ac:dyDescent="0.2">
      <c r="A316" s="1"/>
      <c r="B316" s="2"/>
    </row>
    <row r="317" spans="1:2" x14ac:dyDescent="0.2">
      <c r="A317" s="1"/>
      <c r="B317" s="2"/>
    </row>
    <row r="318" spans="1:2" x14ac:dyDescent="0.2">
      <c r="A318" s="1"/>
      <c r="B318" s="2"/>
    </row>
    <row r="319" spans="1:2" x14ac:dyDescent="0.2">
      <c r="A319" s="1"/>
      <c r="B319" s="2"/>
    </row>
    <row r="320" spans="1:2" x14ac:dyDescent="0.2">
      <c r="A320" s="1"/>
      <c r="B320" s="2"/>
    </row>
    <row r="321" spans="1:2" x14ac:dyDescent="0.2">
      <c r="A321" s="1"/>
      <c r="B321" s="2"/>
    </row>
    <row r="322" spans="1:2" x14ac:dyDescent="0.2">
      <c r="A322" s="1"/>
      <c r="B322" s="2"/>
    </row>
    <row r="323" spans="1:2" x14ac:dyDescent="0.2">
      <c r="A323" s="1"/>
      <c r="B323" s="2"/>
    </row>
    <row r="324" spans="1:2" x14ac:dyDescent="0.2">
      <c r="A324" s="1"/>
      <c r="B324" s="2"/>
    </row>
    <row r="325" spans="1:2" x14ac:dyDescent="0.2">
      <c r="A325" s="1"/>
      <c r="B325" s="2"/>
    </row>
    <row r="326" spans="1:2" x14ac:dyDescent="0.2">
      <c r="A326" s="1"/>
      <c r="B326" s="2"/>
    </row>
    <row r="327" spans="1:2" x14ac:dyDescent="0.2">
      <c r="A327" s="1"/>
      <c r="B327" s="2"/>
    </row>
    <row r="328" spans="1:2" x14ac:dyDescent="0.2">
      <c r="A328" s="1"/>
      <c r="B328" s="2"/>
    </row>
    <row r="329" spans="1:2" x14ac:dyDescent="0.2">
      <c r="A329" s="1"/>
      <c r="B329" s="2"/>
    </row>
    <row r="330" spans="1:2" x14ac:dyDescent="0.2">
      <c r="A330" s="1"/>
      <c r="B330" s="2"/>
    </row>
    <row r="331" spans="1:2" x14ac:dyDescent="0.2">
      <c r="A331" s="1"/>
      <c r="B331" s="2"/>
    </row>
    <row r="332" spans="1:2" x14ac:dyDescent="0.2">
      <c r="A332" s="1"/>
      <c r="B332" s="2"/>
    </row>
    <row r="333" spans="1:2" x14ac:dyDescent="0.2">
      <c r="A333" s="1"/>
      <c r="B333" s="2"/>
    </row>
    <row r="334" spans="1:2" x14ac:dyDescent="0.2">
      <c r="A334" s="1"/>
      <c r="B334" s="2"/>
    </row>
    <row r="335" spans="1:2" x14ac:dyDescent="0.2">
      <c r="A335" s="1"/>
      <c r="B335" s="2"/>
    </row>
    <row r="336" spans="1:2" x14ac:dyDescent="0.2">
      <c r="A336" s="1"/>
      <c r="B336" s="2"/>
    </row>
    <row r="337" spans="1:2" x14ac:dyDescent="0.2">
      <c r="A337" s="1"/>
      <c r="B337" s="2"/>
    </row>
    <row r="338" spans="1:2" x14ac:dyDescent="0.2">
      <c r="A338" s="1"/>
      <c r="B338" s="2"/>
    </row>
    <row r="339" spans="1:2" x14ac:dyDescent="0.2">
      <c r="A339" s="1"/>
      <c r="B339" s="2"/>
    </row>
    <row r="340" spans="1:2" x14ac:dyDescent="0.2">
      <c r="A340" s="1"/>
      <c r="B340" s="2"/>
    </row>
    <row r="341" spans="1:2" x14ac:dyDescent="0.2">
      <c r="A341" s="1"/>
      <c r="B341" s="2"/>
    </row>
    <row r="342" spans="1:2" x14ac:dyDescent="0.2">
      <c r="A342" s="1"/>
      <c r="B342" s="2"/>
    </row>
    <row r="343" spans="1:2" x14ac:dyDescent="0.2">
      <c r="A343" s="1"/>
      <c r="B343" s="2"/>
    </row>
    <row r="344" spans="1:2" x14ac:dyDescent="0.2">
      <c r="A344" s="1"/>
      <c r="B344" s="2"/>
    </row>
    <row r="345" spans="1:2" x14ac:dyDescent="0.2">
      <c r="A345" s="1"/>
      <c r="B345" s="2"/>
    </row>
    <row r="346" spans="1:2" x14ac:dyDescent="0.2">
      <c r="A346" s="1"/>
      <c r="B346" s="2"/>
    </row>
    <row r="347" spans="1:2" x14ac:dyDescent="0.2">
      <c r="A347" s="1"/>
      <c r="B347" s="2"/>
    </row>
    <row r="348" spans="1:2" x14ac:dyDescent="0.2">
      <c r="A348" s="1"/>
      <c r="B348" s="2"/>
    </row>
    <row r="349" spans="1:2" x14ac:dyDescent="0.2">
      <c r="A349" s="1"/>
      <c r="B349" s="2"/>
    </row>
    <row r="350" spans="1:2" x14ac:dyDescent="0.2">
      <c r="A350" s="1"/>
      <c r="B350" s="2"/>
    </row>
    <row r="351" spans="1:2" x14ac:dyDescent="0.2">
      <c r="A351" s="1"/>
      <c r="B351" s="2"/>
    </row>
    <row r="352" spans="1:2" x14ac:dyDescent="0.2">
      <c r="A352" s="1"/>
      <c r="B352" s="2"/>
    </row>
    <row r="353" spans="1:2" x14ac:dyDescent="0.2">
      <c r="A353" s="1"/>
      <c r="B353" s="2"/>
    </row>
    <row r="354" spans="1:2" x14ac:dyDescent="0.2">
      <c r="A354" s="1"/>
      <c r="B354" s="2"/>
    </row>
    <row r="355" spans="1:2" x14ac:dyDescent="0.2">
      <c r="A355" s="1"/>
      <c r="B355" s="2"/>
    </row>
    <row r="356" spans="1:2" x14ac:dyDescent="0.2">
      <c r="A356" s="1"/>
      <c r="B356" s="2"/>
    </row>
    <row r="357" spans="1:2" x14ac:dyDescent="0.2">
      <c r="A357" s="1"/>
      <c r="B357" s="2"/>
    </row>
    <row r="358" spans="1:2" x14ac:dyDescent="0.2">
      <c r="A358" s="1"/>
      <c r="B358" s="2"/>
    </row>
    <row r="359" spans="1:2" x14ac:dyDescent="0.2">
      <c r="A359" s="1"/>
      <c r="B359" s="2"/>
    </row>
    <row r="360" spans="1:2" x14ac:dyDescent="0.2">
      <c r="A360" s="1"/>
      <c r="B360" s="2"/>
    </row>
    <row r="361" spans="1:2" x14ac:dyDescent="0.2">
      <c r="A361" s="1"/>
      <c r="B361" s="2"/>
    </row>
    <row r="362" spans="1:2" x14ac:dyDescent="0.2">
      <c r="A362" s="1"/>
      <c r="B362" s="2"/>
    </row>
    <row r="363" spans="1:2" x14ac:dyDescent="0.2">
      <c r="A363" s="1"/>
      <c r="B363" s="2"/>
    </row>
    <row r="364" spans="1:2" x14ac:dyDescent="0.2">
      <c r="A364" s="1"/>
      <c r="B364" s="2"/>
    </row>
    <row r="365" spans="1:2" x14ac:dyDescent="0.2">
      <c r="A365" s="1"/>
      <c r="B365" s="2"/>
    </row>
    <row r="366" spans="1:2" x14ac:dyDescent="0.2">
      <c r="A366" s="1"/>
      <c r="B366" s="2"/>
    </row>
    <row r="367" spans="1:2" x14ac:dyDescent="0.2">
      <c r="A367" s="1"/>
      <c r="B367" s="2"/>
    </row>
    <row r="368" spans="1:2" x14ac:dyDescent="0.2">
      <c r="A368" s="1"/>
      <c r="B368" s="2"/>
    </row>
    <row r="369" spans="1:2" x14ac:dyDescent="0.2">
      <c r="A369" s="1"/>
      <c r="B369" s="2"/>
    </row>
    <row r="370" spans="1:2" x14ac:dyDescent="0.2">
      <c r="A370" s="1"/>
      <c r="B370" s="2"/>
    </row>
    <row r="371" spans="1:2" x14ac:dyDescent="0.2">
      <c r="A371" s="1"/>
      <c r="B371" s="2"/>
    </row>
    <row r="372" spans="1:2" x14ac:dyDescent="0.2">
      <c r="A372" s="1"/>
      <c r="B372" s="2"/>
    </row>
    <row r="373" spans="1:2" x14ac:dyDescent="0.2">
      <c r="A373" s="1"/>
      <c r="B373" s="2"/>
    </row>
    <row r="374" spans="1:2" x14ac:dyDescent="0.2">
      <c r="A374" s="1"/>
      <c r="B374" s="2"/>
    </row>
    <row r="375" spans="1:2" x14ac:dyDescent="0.2">
      <c r="A375" s="1"/>
      <c r="B375" s="2"/>
    </row>
    <row r="376" spans="1:2" x14ac:dyDescent="0.2">
      <c r="A376" s="1"/>
      <c r="B376" s="2"/>
    </row>
    <row r="377" spans="1:2" x14ac:dyDescent="0.2">
      <c r="A377" s="1"/>
      <c r="B377" s="2"/>
    </row>
    <row r="378" spans="1:2" x14ac:dyDescent="0.2">
      <c r="A378" s="1"/>
      <c r="B378" s="2"/>
    </row>
    <row r="379" spans="1:2" x14ac:dyDescent="0.2">
      <c r="A379" s="1"/>
      <c r="B379" s="2"/>
    </row>
    <row r="380" spans="1:2" x14ac:dyDescent="0.2">
      <c r="A380" s="1"/>
      <c r="B380" s="2"/>
    </row>
    <row r="381" spans="1:2" x14ac:dyDescent="0.2">
      <c r="A381" s="1"/>
      <c r="B381" s="2"/>
    </row>
    <row r="382" spans="1:2" x14ac:dyDescent="0.2">
      <c r="A382" s="1"/>
      <c r="B382" s="2"/>
    </row>
    <row r="383" spans="1:2" x14ac:dyDescent="0.2">
      <c r="A383" s="1"/>
      <c r="B383" s="2"/>
    </row>
    <row r="384" spans="1:2" x14ac:dyDescent="0.2">
      <c r="A384" s="1"/>
      <c r="B384" s="2"/>
    </row>
    <row r="385" spans="1:2" x14ac:dyDescent="0.2">
      <c r="A385" s="1"/>
      <c r="B385" s="2"/>
    </row>
    <row r="386" spans="1:2" x14ac:dyDescent="0.2">
      <c r="A386" s="1"/>
      <c r="B386" s="2"/>
    </row>
    <row r="387" spans="1:2" x14ac:dyDescent="0.2">
      <c r="A387" s="1"/>
      <c r="B387" s="2"/>
    </row>
    <row r="388" spans="1:2" x14ac:dyDescent="0.2">
      <c r="A388" s="1"/>
      <c r="B388" s="2"/>
    </row>
    <row r="389" spans="1:2" x14ac:dyDescent="0.2">
      <c r="A389" s="1"/>
      <c r="B389" s="2"/>
    </row>
    <row r="390" spans="1:2" x14ac:dyDescent="0.2">
      <c r="A390" s="1"/>
      <c r="B390" s="2"/>
    </row>
    <row r="391" spans="1:2" x14ac:dyDescent="0.2">
      <c r="A391" s="1"/>
      <c r="B391" s="2"/>
    </row>
    <row r="392" spans="1:2" x14ac:dyDescent="0.2">
      <c r="A392" s="1"/>
      <c r="B392" s="2"/>
    </row>
    <row r="393" spans="1:2" x14ac:dyDescent="0.2">
      <c r="A393" s="1"/>
      <c r="B393" s="2"/>
    </row>
    <row r="394" spans="1:2" x14ac:dyDescent="0.2">
      <c r="A394" s="1"/>
      <c r="B394" s="2"/>
    </row>
    <row r="395" spans="1:2" x14ac:dyDescent="0.2">
      <c r="A395" s="1"/>
      <c r="B395" s="2"/>
    </row>
    <row r="396" spans="1:2" x14ac:dyDescent="0.2">
      <c r="A396" s="1"/>
      <c r="B396" s="2"/>
    </row>
    <row r="397" spans="1:2" x14ac:dyDescent="0.2">
      <c r="A397" s="1"/>
      <c r="B397" s="2"/>
    </row>
    <row r="398" spans="1:2" x14ac:dyDescent="0.2">
      <c r="A398" s="1"/>
      <c r="B398" s="2"/>
    </row>
    <row r="399" spans="1:2" x14ac:dyDescent="0.2">
      <c r="A399" s="1"/>
      <c r="B399" s="2"/>
    </row>
    <row r="400" spans="1:2" x14ac:dyDescent="0.2">
      <c r="A400" s="1"/>
      <c r="B400" s="2"/>
    </row>
    <row r="401" spans="1:2" x14ac:dyDescent="0.2">
      <c r="A401" s="1"/>
      <c r="B401" s="2"/>
    </row>
    <row r="402" spans="1:2" x14ac:dyDescent="0.2">
      <c r="A402" s="1"/>
      <c r="B402" s="2"/>
    </row>
    <row r="403" spans="1:2" x14ac:dyDescent="0.2">
      <c r="A403" s="1"/>
      <c r="B403" s="2"/>
    </row>
    <row r="404" spans="1:2" x14ac:dyDescent="0.2">
      <c r="A404" s="1"/>
      <c r="B404" s="2"/>
    </row>
    <row r="405" spans="1:2" x14ac:dyDescent="0.2">
      <c r="A405" s="1"/>
      <c r="B405" s="2"/>
    </row>
    <row r="406" spans="1:2" x14ac:dyDescent="0.2">
      <c r="A406" s="1"/>
      <c r="B406" s="2"/>
    </row>
    <row r="407" spans="1:2" x14ac:dyDescent="0.2">
      <c r="A407" s="1"/>
      <c r="B407" s="2"/>
    </row>
    <row r="408" spans="1:2" x14ac:dyDescent="0.2">
      <c r="A408" s="1"/>
      <c r="B408" s="2"/>
    </row>
    <row r="409" spans="1:2" x14ac:dyDescent="0.2">
      <c r="A409" s="1"/>
      <c r="B409" s="2"/>
    </row>
    <row r="410" spans="1:2" x14ac:dyDescent="0.2">
      <c r="A410" s="1"/>
      <c r="B410" s="2"/>
    </row>
    <row r="411" spans="1:2" x14ac:dyDescent="0.2">
      <c r="A411" s="1"/>
      <c r="B411" s="2"/>
    </row>
    <row r="412" spans="1:2" x14ac:dyDescent="0.2">
      <c r="A412" s="1"/>
      <c r="B412" s="2"/>
    </row>
    <row r="413" spans="1:2" x14ac:dyDescent="0.2">
      <c r="A413" s="1"/>
      <c r="B413" s="2"/>
    </row>
    <row r="414" spans="1:2" x14ac:dyDescent="0.2">
      <c r="A414" s="1"/>
      <c r="B414" s="2"/>
    </row>
    <row r="415" spans="1:2" x14ac:dyDescent="0.2">
      <c r="A415" s="1"/>
      <c r="B415" s="2"/>
    </row>
    <row r="416" spans="1:2" x14ac:dyDescent="0.2">
      <c r="A416" s="1"/>
      <c r="B416" s="2"/>
    </row>
    <row r="417" spans="1:2" x14ac:dyDescent="0.2">
      <c r="A417" s="1"/>
      <c r="B417" s="2"/>
    </row>
    <row r="418" spans="1:2" x14ac:dyDescent="0.2">
      <c r="A418" s="1"/>
      <c r="B418" s="2"/>
    </row>
    <row r="419" spans="1:2" x14ac:dyDescent="0.2">
      <c r="A419" s="1"/>
      <c r="B419" s="2"/>
    </row>
    <row r="420" spans="1:2" x14ac:dyDescent="0.2">
      <c r="A420" s="1"/>
      <c r="B420" s="2"/>
    </row>
    <row r="421" spans="1:2" x14ac:dyDescent="0.2">
      <c r="A421" s="1"/>
      <c r="B421" s="2"/>
    </row>
    <row r="422" spans="1:2" x14ac:dyDescent="0.2">
      <c r="A422" s="1"/>
      <c r="B422" s="2"/>
    </row>
    <row r="423" spans="1:2" x14ac:dyDescent="0.2">
      <c r="A423" s="1"/>
      <c r="B423" s="2"/>
    </row>
    <row r="424" spans="1:2" x14ac:dyDescent="0.2">
      <c r="A424" s="1"/>
      <c r="B424" s="2"/>
    </row>
    <row r="425" spans="1:2" x14ac:dyDescent="0.2">
      <c r="A425" s="1"/>
      <c r="B425" s="2"/>
    </row>
    <row r="426" spans="1:2" x14ac:dyDescent="0.2">
      <c r="A426" s="1"/>
      <c r="B426" s="2"/>
    </row>
    <row r="427" spans="1:2" x14ac:dyDescent="0.2">
      <c r="A427" s="1"/>
      <c r="B427" s="2"/>
    </row>
    <row r="428" spans="1:2" x14ac:dyDescent="0.2">
      <c r="A428" s="1"/>
      <c r="B428" s="2"/>
    </row>
    <row r="429" spans="1:2" x14ac:dyDescent="0.2">
      <c r="A429" s="1"/>
      <c r="B429" s="2"/>
    </row>
    <row r="430" spans="1:2" x14ac:dyDescent="0.2">
      <c r="A430" s="1"/>
      <c r="B430" s="2"/>
    </row>
    <row r="431" spans="1:2" x14ac:dyDescent="0.2">
      <c r="A431" s="1"/>
      <c r="B431" s="2"/>
    </row>
    <row r="432" spans="1:2" x14ac:dyDescent="0.2">
      <c r="A432" s="1"/>
      <c r="B432" s="2"/>
    </row>
    <row r="433" spans="1:2" x14ac:dyDescent="0.2">
      <c r="A433" s="1"/>
      <c r="B433" s="2"/>
    </row>
    <row r="434" spans="1:2" x14ac:dyDescent="0.2">
      <c r="A434" s="1"/>
      <c r="B434" s="2"/>
    </row>
    <row r="435" spans="1:2" x14ac:dyDescent="0.2">
      <c r="A435" s="1"/>
      <c r="B435" s="2"/>
    </row>
    <row r="436" spans="1:2" x14ac:dyDescent="0.2">
      <c r="A436" s="1"/>
      <c r="B436" s="2"/>
    </row>
    <row r="437" spans="1:2" x14ac:dyDescent="0.2">
      <c r="A437" s="1"/>
      <c r="B437" s="2"/>
    </row>
    <row r="438" spans="1:2" x14ac:dyDescent="0.2">
      <c r="A438" s="1"/>
      <c r="B438" s="2"/>
    </row>
    <row r="439" spans="1:2" x14ac:dyDescent="0.2">
      <c r="A439" s="1"/>
      <c r="B439" s="2"/>
    </row>
    <row r="440" spans="1:2" x14ac:dyDescent="0.2">
      <c r="A440" s="1"/>
      <c r="B440" s="2"/>
    </row>
    <row r="441" spans="1:2" x14ac:dyDescent="0.2">
      <c r="A441" s="1"/>
      <c r="B441" s="2"/>
    </row>
    <row r="442" spans="1:2" x14ac:dyDescent="0.2">
      <c r="A442" s="1"/>
      <c r="B442" s="2"/>
    </row>
    <row r="443" spans="1:2" x14ac:dyDescent="0.2">
      <c r="A443" s="1"/>
      <c r="B443" s="2"/>
    </row>
    <row r="444" spans="1:2" x14ac:dyDescent="0.2">
      <c r="A444" s="1"/>
      <c r="B444" s="2"/>
    </row>
    <row r="445" spans="1:2" x14ac:dyDescent="0.2">
      <c r="A445" s="1"/>
      <c r="B445" s="2"/>
    </row>
    <row r="446" spans="1:2" x14ac:dyDescent="0.2">
      <c r="A446" s="1"/>
      <c r="B446" s="2"/>
    </row>
    <row r="447" spans="1:2" x14ac:dyDescent="0.2">
      <c r="A447" s="1"/>
      <c r="B447" s="2"/>
    </row>
    <row r="448" spans="1:2" x14ac:dyDescent="0.2">
      <c r="A448" s="1"/>
      <c r="B448" s="2"/>
    </row>
    <row r="449" spans="1:2" x14ac:dyDescent="0.2">
      <c r="A449" s="1"/>
      <c r="B449" s="2"/>
    </row>
    <row r="450" spans="1:2" x14ac:dyDescent="0.2">
      <c r="A450" s="1"/>
      <c r="B450" s="2"/>
    </row>
    <row r="451" spans="1:2" x14ac:dyDescent="0.2">
      <c r="A451" s="1"/>
      <c r="B451" s="2"/>
    </row>
    <row r="452" spans="1:2" x14ac:dyDescent="0.2">
      <c r="A452" s="1"/>
      <c r="B452" s="2"/>
    </row>
    <row r="453" spans="1:2" x14ac:dyDescent="0.2">
      <c r="A453" s="1"/>
      <c r="B453" s="2"/>
    </row>
    <row r="454" spans="1:2" x14ac:dyDescent="0.2">
      <c r="A454" s="1"/>
      <c r="B454" s="2"/>
    </row>
    <row r="455" spans="1:2" x14ac:dyDescent="0.2">
      <c r="A455" s="1"/>
      <c r="B455" s="2"/>
    </row>
    <row r="456" spans="1:2" x14ac:dyDescent="0.2">
      <c r="A456" s="1"/>
      <c r="B456" s="2"/>
    </row>
    <row r="457" spans="1:2" x14ac:dyDescent="0.2">
      <c r="A457" s="1"/>
      <c r="B457" s="2"/>
    </row>
    <row r="458" spans="1:2" x14ac:dyDescent="0.2">
      <c r="A458" s="1"/>
      <c r="B458" s="2"/>
    </row>
    <row r="459" spans="1:2" x14ac:dyDescent="0.2">
      <c r="A459" s="1"/>
      <c r="B459" s="2"/>
    </row>
    <row r="460" spans="1:2" x14ac:dyDescent="0.2">
      <c r="A460" s="1"/>
      <c r="B460" s="2"/>
    </row>
    <row r="461" spans="1:2" x14ac:dyDescent="0.2">
      <c r="A461" s="1"/>
      <c r="B461" s="2"/>
    </row>
    <row r="462" spans="1:2" x14ac:dyDescent="0.2">
      <c r="A462" s="1"/>
      <c r="B462" s="2"/>
    </row>
    <row r="463" spans="1:2" x14ac:dyDescent="0.2">
      <c r="A463" s="1"/>
      <c r="B463" s="2"/>
    </row>
    <row r="464" spans="1:2" x14ac:dyDescent="0.2">
      <c r="A464" s="1"/>
      <c r="B464" s="2"/>
    </row>
    <row r="465" spans="1:2" x14ac:dyDescent="0.2">
      <c r="A465" s="1"/>
      <c r="B465" s="2"/>
    </row>
    <row r="466" spans="1:2" x14ac:dyDescent="0.2">
      <c r="A466" s="1"/>
      <c r="B466" s="2"/>
    </row>
    <row r="467" spans="1:2" x14ac:dyDescent="0.2">
      <c r="A467" s="1"/>
      <c r="B467" s="2"/>
    </row>
    <row r="468" spans="1:2" x14ac:dyDescent="0.2">
      <c r="A468" s="1"/>
      <c r="B468" s="2"/>
    </row>
    <row r="469" spans="1:2" x14ac:dyDescent="0.2">
      <c r="A469" s="1"/>
      <c r="B469" s="2"/>
    </row>
    <row r="470" spans="1:2" x14ac:dyDescent="0.2">
      <c r="A470" s="1"/>
      <c r="B470" s="2"/>
    </row>
    <row r="471" spans="1:2" x14ac:dyDescent="0.2">
      <c r="A471" s="1"/>
      <c r="B471" s="2"/>
    </row>
    <row r="472" spans="1:2" x14ac:dyDescent="0.2">
      <c r="A472" s="1"/>
      <c r="B472" s="2"/>
    </row>
    <row r="473" spans="1:2" x14ac:dyDescent="0.2">
      <c r="A473" s="1"/>
      <c r="B473" s="2"/>
    </row>
    <row r="474" spans="1:2" x14ac:dyDescent="0.2">
      <c r="A474" s="1"/>
      <c r="B474" s="2"/>
    </row>
    <row r="475" spans="1:2" x14ac:dyDescent="0.2">
      <c r="A475" s="1"/>
      <c r="B475" s="2"/>
    </row>
    <row r="476" spans="1:2" x14ac:dyDescent="0.2">
      <c r="A476" s="1"/>
      <c r="B476" s="2"/>
    </row>
    <row r="477" spans="1:2" x14ac:dyDescent="0.2">
      <c r="A477" s="1"/>
      <c r="B477" s="2"/>
    </row>
    <row r="478" spans="1:2" x14ac:dyDescent="0.2">
      <c r="A478" s="1"/>
      <c r="B478" s="2"/>
    </row>
    <row r="479" spans="1:2" x14ac:dyDescent="0.2">
      <c r="A479" s="1"/>
      <c r="B479" s="2"/>
    </row>
    <row r="480" spans="1:2" x14ac:dyDescent="0.2">
      <c r="A480" s="1"/>
      <c r="B480" s="2"/>
    </row>
    <row r="481" spans="1:2" x14ac:dyDescent="0.2">
      <c r="A481" s="1"/>
      <c r="B481" s="2"/>
    </row>
    <row r="482" spans="1:2" x14ac:dyDescent="0.2">
      <c r="A482" s="1"/>
      <c r="B482" s="2"/>
    </row>
    <row r="483" spans="1:2" x14ac:dyDescent="0.2">
      <c r="A483" s="1"/>
      <c r="B483" s="2"/>
    </row>
    <row r="484" spans="1:2" x14ac:dyDescent="0.2">
      <c r="A484" s="1"/>
      <c r="B484" s="2"/>
    </row>
    <row r="485" spans="1:2" x14ac:dyDescent="0.2">
      <c r="A485" s="1"/>
      <c r="B485" s="2"/>
    </row>
    <row r="486" spans="1:2" x14ac:dyDescent="0.2">
      <c r="A486" s="1"/>
      <c r="B486" s="2"/>
    </row>
    <row r="487" spans="1:2" x14ac:dyDescent="0.2">
      <c r="A487" s="1"/>
      <c r="B487" s="2"/>
    </row>
    <row r="488" spans="1:2" x14ac:dyDescent="0.2">
      <c r="A488" s="1"/>
      <c r="B488" s="2"/>
    </row>
    <row r="489" spans="1:2" x14ac:dyDescent="0.2">
      <c r="A489" s="1"/>
      <c r="B489" s="2"/>
    </row>
    <row r="490" spans="1:2" x14ac:dyDescent="0.2">
      <c r="A490" s="1"/>
      <c r="B490" s="2"/>
    </row>
    <row r="491" spans="1:2" x14ac:dyDescent="0.2">
      <c r="A491" s="1"/>
      <c r="B491" s="2"/>
    </row>
    <row r="492" spans="1:2" x14ac:dyDescent="0.2">
      <c r="A492" s="1"/>
      <c r="B492" s="2"/>
    </row>
    <row r="493" spans="1:2" x14ac:dyDescent="0.2">
      <c r="A493" s="1"/>
      <c r="B493" s="2"/>
    </row>
    <row r="494" spans="1:2" x14ac:dyDescent="0.2">
      <c r="A494" s="1"/>
      <c r="B494" s="2"/>
    </row>
    <row r="495" spans="1:2" x14ac:dyDescent="0.2">
      <c r="A495" s="1"/>
      <c r="B495" s="2"/>
    </row>
    <row r="496" spans="1:2" x14ac:dyDescent="0.2">
      <c r="A496" s="1"/>
      <c r="B496" s="2"/>
    </row>
    <row r="497" spans="1:2" x14ac:dyDescent="0.2">
      <c r="A497" s="1"/>
      <c r="B497" s="2"/>
    </row>
    <row r="498" spans="1:2" x14ac:dyDescent="0.2">
      <c r="A498" s="1"/>
      <c r="B498" s="2"/>
    </row>
    <row r="499" spans="1:2" x14ac:dyDescent="0.2">
      <c r="A499" s="1"/>
      <c r="B499" s="2"/>
    </row>
    <row r="500" spans="1:2" x14ac:dyDescent="0.2">
      <c r="A500" s="1"/>
      <c r="B500" s="2"/>
    </row>
    <row r="501" spans="1:2" x14ac:dyDescent="0.2">
      <c r="A501" s="1"/>
      <c r="B501" s="2"/>
    </row>
    <row r="502" spans="1:2" x14ac:dyDescent="0.2">
      <c r="A502" s="1"/>
      <c r="B502" s="2"/>
    </row>
    <row r="503" spans="1:2" x14ac:dyDescent="0.2">
      <c r="A503" s="1"/>
      <c r="B503" s="2"/>
    </row>
    <row r="504" spans="1:2" x14ac:dyDescent="0.2">
      <c r="A504" s="1"/>
      <c r="B504" s="2"/>
    </row>
    <row r="505" spans="1:2" x14ac:dyDescent="0.2">
      <c r="A505" s="1"/>
      <c r="B505" s="2"/>
    </row>
    <row r="506" spans="1:2" x14ac:dyDescent="0.2">
      <c r="A506" s="1"/>
      <c r="B506" s="2"/>
    </row>
    <row r="507" spans="1:2" x14ac:dyDescent="0.2">
      <c r="A507" s="1"/>
      <c r="B507" s="2"/>
    </row>
    <row r="508" spans="1:2" x14ac:dyDescent="0.2">
      <c r="A508" s="1"/>
      <c r="B508" s="2"/>
    </row>
    <row r="509" spans="1:2" x14ac:dyDescent="0.2">
      <c r="A509" s="1"/>
      <c r="B509" s="2"/>
    </row>
    <row r="510" spans="1:2" x14ac:dyDescent="0.2">
      <c r="A510" s="1"/>
      <c r="B510" s="2"/>
    </row>
    <row r="511" spans="1:2" x14ac:dyDescent="0.2">
      <c r="A511" s="1"/>
      <c r="B511" s="2"/>
    </row>
    <row r="512" spans="1:2" x14ac:dyDescent="0.2">
      <c r="A512" s="1"/>
      <c r="B512" s="2"/>
    </row>
    <row r="513" spans="1:2" x14ac:dyDescent="0.2">
      <c r="A513" s="1"/>
      <c r="B513" s="2"/>
    </row>
    <row r="514" spans="1:2" x14ac:dyDescent="0.2">
      <c r="A514" s="1"/>
      <c r="B514" s="2"/>
    </row>
    <row r="515" spans="1:2" x14ac:dyDescent="0.2">
      <c r="A515" s="1"/>
      <c r="B515" s="2"/>
    </row>
    <row r="516" spans="1:2" x14ac:dyDescent="0.2">
      <c r="A516" s="1"/>
      <c r="B516" s="2"/>
    </row>
    <row r="517" spans="1:2" x14ac:dyDescent="0.2">
      <c r="A517" s="1"/>
      <c r="B517" s="2"/>
    </row>
    <row r="518" spans="1:2" x14ac:dyDescent="0.2">
      <c r="A518" s="1"/>
      <c r="B518" s="2"/>
    </row>
    <row r="519" spans="1:2" x14ac:dyDescent="0.2">
      <c r="A519" s="1"/>
      <c r="B519" s="2"/>
    </row>
    <row r="520" spans="1:2" x14ac:dyDescent="0.2">
      <c r="A520" s="1"/>
      <c r="B520" s="2"/>
    </row>
    <row r="521" spans="1:2" x14ac:dyDescent="0.2">
      <c r="A521" s="1"/>
      <c r="B521" s="2"/>
    </row>
    <row r="522" spans="1:2" x14ac:dyDescent="0.2">
      <c r="A522" s="1"/>
      <c r="B522" s="2"/>
    </row>
    <row r="523" spans="1:2" x14ac:dyDescent="0.2">
      <c r="A523" s="1"/>
      <c r="B523" s="2"/>
    </row>
    <row r="524" spans="1:2" x14ac:dyDescent="0.2">
      <c r="A524" s="1"/>
      <c r="B524" s="2"/>
    </row>
    <row r="525" spans="1:2" x14ac:dyDescent="0.2">
      <c r="A525" s="1"/>
      <c r="B525" s="2"/>
    </row>
    <row r="526" spans="1:2" x14ac:dyDescent="0.2">
      <c r="A526" s="1"/>
      <c r="B526" s="2"/>
    </row>
    <row r="527" spans="1:2" x14ac:dyDescent="0.2">
      <c r="A527" s="1"/>
      <c r="B527" s="2"/>
    </row>
    <row r="528" spans="1:2" x14ac:dyDescent="0.2">
      <c r="A528" s="1"/>
      <c r="B528" s="2"/>
    </row>
    <row r="529" spans="1:2" x14ac:dyDescent="0.2">
      <c r="A529" s="1"/>
      <c r="B529" s="2"/>
    </row>
    <row r="530" spans="1:2" x14ac:dyDescent="0.2">
      <c r="A530" s="1"/>
      <c r="B530" s="2"/>
    </row>
    <row r="531" spans="1:2" x14ac:dyDescent="0.2">
      <c r="A531" s="1"/>
      <c r="B531" s="2"/>
    </row>
    <row r="532" spans="1:2" x14ac:dyDescent="0.2">
      <c r="A532" s="1"/>
      <c r="B532" s="2"/>
    </row>
    <row r="533" spans="1:2" x14ac:dyDescent="0.2">
      <c r="A533" s="1"/>
      <c r="B533" s="2"/>
    </row>
    <row r="534" spans="1:2" x14ac:dyDescent="0.2">
      <c r="A534" s="1"/>
      <c r="B534" s="2"/>
    </row>
    <row r="535" spans="1:2" x14ac:dyDescent="0.2">
      <c r="A535" s="1"/>
      <c r="B535" s="2"/>
    </row>
    <row r="536" spans="1:2" x14ac:dyDescent="0.2">
      <c r="A536" s="1"/>
      <c r="B536" s="2"/>
    </row>
    <row r="537" spans="1:2" x14ac:dyDescent="0.2">
      <c r="A537" s="1"/>
      <c r="B537" s="2"/>
    </row>
    <row r="538" spans="1:2" x14ac:dyDescent="0.2">
      <c r="A538" s="1"/>
      <c r="B538" s="2"/>
    </row>
    <row r="539" spans="1:2" x14ac:dyDescent="0.2">
      <c r="A539" s="1"/>
      <c r="B539" s="2"/>
    </row>
    <row r="540" spans="1:2" x14ac:dyDescent="0.2">
      <c r="A540" s="1"/>
      <c r="B540" s="2"/>
    </row>
    <row r="541" spans="1:2" x14ac:dyDescent="0.2">
      <c r="A541" s="1"/>
      <c r="B541" s="2"/>
    </row>
    <row r="542" spans="1:2" x14ac:dyDescent="0.2">
      <c r="A542" s="1"/>
      <c r="B542" s="2"/>
    </row>
    <row r="543" spans="1:2" x14ac:dyDescent="0.2">
      <c r="A543" s="1"/>
      <c r="B543" s="2"/>
    </row>
    <row r="544" spans="1:2" x14ac:dyDescent="0.2">
      <c r="A544" s="1"/>
      <c r="B544" s="2"/>
    </row>
    <row r="545" spans="1:2" x14ac:dyDescent="0.2">
      <c r="A545" s="1"/>
      <c r="B545" s="2"/>
    </row>
    <row r="546" spans="1:2" x14ac:dyDescent="0.2">
      <c r="A546" s="1"/>
      <c r="B546" s="2"/>
    </row>
    <row r="547" spans="1:2" x14ac:dyDescent="0.2">
      <c r="A547" s="1"/>
      <c r="B547" s="2"/>
    </row>
    <row r="548" spans="1:2" x14ac:dyDescent="0.2">
      <c r="A548" s="1"/>
      <c r="B548" s="2"/>
    </row>
    <row r="549" spans="1:2" x14ac:dyDescent="0.2">
      <c r="A549" s="1"/>
      <c r="B549" s="2"/>
    </row>
    <row r="550" spans="1:2" x14ac:dyDescent="0.2">
      <c r="A550" s="1"/>
      <c r="B550" s="2"/>
    </row>
    <row r="551" spans="1:2" x14ac:dyDescent="0.2">
      <c r="A551" s="1"/>
      <c r="B551" s="2"/>
    </row>
    <row r="552" spans="1:2" x14ac:dyDescent="0.2">
      <c r="A552" s="1"/>
      <c r="B552" s="2"/>
    </row>
    <row r="553" spans="1:2" x14ac:dyDescent="0.2">
      <c r="A553" s="1"/>
      <c r="B553" s="2"/>
    </row>
    <row r="554" spans="1:2" x14ac:dyDescent="0.2">
      <c r="A554" s="1"/>
      <c r="B554" s="2"/>
    </row>
    <row r="555" spans="1:2" x14ac:dyDescent="0.2">
      <c r="A555" s="1"/>
      <c r="B555" s="2"/>
    </row>
    <row r="556" spans="1:2" x14ac:dyDescent="0.2">
      <c r="A556" s="1"/>
      <c r="B556" s="2"/>
    </row>
    <row r="557" spans="1:2" x14ac:dyDescent="0.2">
      <c r="A557" s="1"/>
      <c r="B557" s="2"/>
    </row>
    <row r="558" spans="1:2" x14ac:dyDescent="0.2">
      <c r="A558" s="1"/>
      <c r="B558" s="2"/>
    </row>
    <row r="559" spans="1:2" x14ac:dyDescent="0.2">
      <c r="A559" s="1"/>
      <c r="B559" s="2"/>
    </row>
    <row r="560" spans="1:2" x14ac:dyDescent="0.2">
      <c r="A560" s="1"/>
      <c r="B560" s="2"/>
    </row>
    <row r="561" spans="1:2" x14ac:dyDescent="0.2">
      <c r="A561" s="1"/>
      <c r="B561" s="2"/>
    </row>
    <row r="562" spans="1:2" x14ac:dyDescent="0.2">
      <c r="A562" s="1"/>
      <c r="B562" s="2"/>
    </row>
    <row r="563" spans="1:2" x14ac:dyDescent="0.2">
      <c r="A563" s="1"/>
      <c r="B563" s="2"/>
    </row>
    <row r="564" spans="1:2" x14ac:dyDescent="0.2">
      <c r="A564" s="1"/>
      <c r="B564" s="2"/>
    </row>
    <row r="565" spans="1:2" x14ac:dyDescent="0.2">
      <c r="A565" s="1"/>
      <c r="B565" s="2"/>
    </row>
    <row r="566" spans="1:2" x14ac:dyDescent="0.2">
      <c r="A566" s="1"/>
      <c r="B566" s="2"/>
    </row>
    <row r="567" spans="1:2" x14ac:dyDescent="0.2">
      <c r="A567" s="1"/>
      <c r="B567" s="2"/>
    </row>
    <row r="568" spans="1:2" x14ac:dyDescent="0.2">
      <c r="A568" s="1"/>
      <c r="B568" s="2"/>
    </row>
    <row r="569" spans="1:2" x14ac:dyDescent="0.2">
      <c r="A569" s="1"/>
      <c r="B569" s="2"/>
    </row>
    <row r="570" spans="1:2" x14ac:dyDescent="0.2">
      <c r="A570" s="1"/>
      <c r="B570" s="2"/>
    </row>
    <row r="571" spans="1:2" x14ac:dyDescent="0.2">
      <c r="A571" s="1"/>
      <c r="B571" s="2"/>
    </row>
    <row r="572" spans="1:2" x14ac:dyDescent="0.2">
      <c r="A572" s="1"/>
      <c r="B572" s="2"/>
    </row>
    <row r="573" spans="1:2" x14ac:dyDescent="0.2">
      <c r="A573" s="1"/>
      <c r="B573" s="2"/>
    </row>
    <row r="574" spans="1:2" x14ac:dyDescent="0.2">
      <c r="A574" s="1"/>
      <c r="B574" s="2"/>
    </row>
    <row r="575" spans="1:2" x14ac:dyDescent="0.2">
      <c r="A575" s="1"/>
      <c r="B575" s="2"/>
    </row>
    <row r="576" spans="1:2" x14ac:dyDescent="0.2">
      <c r="A576" s="1"/>
      <c r="B576" s="2"/>
    </row>
    <row r="577" spans="1:2" x14ac:dyDescent="0.2">
      <c r="A577" s="1"/>
      <c r="B577" s="2"/>
    </row>
    <row r="578" spans="1:2" x14ac:dyDescent="0.2">
      <c r="A578" s="1"/>
      <c r="B578" s="2"/>
    </row>
    <row r="579" spans="1:2" x14ac:dyDescent="0.2">
      <c r="A579" s="1"/>
      <c r="B579" s="2"/>
    </row>
    <row r="580" spans="1:2" x14ac:dyDescent="0.2">
      <c r="A580" s="1"/>
      <c r="B580" s="2"/>
    </row>
    <row r="581" spans="1:2" x14ac:dyDescent="0.2">
      <c r="A581" s="1"/>
      <c r="B581" s="2"/>
    </row>
    <row r="582" spans="1:2" x14ac:dyDescent="0.2">
      <c r="A582" s="1"/>
      <c r="B582" s="2"/>
    </row>
    <row r="583" spans="1:2" x14ac:dyDescent="0.2">
      <c r="A583" s="1"/>
      <c r="B583" s="2"/>
    </row>
    <row r="584" spans="1:2" x14ac:dyDescent="0.2">
      <c r="A584" s="1"/>
      <c r="B584" s="2"/>
    </row>
    <row r="585" spans="1:2" x14ac:dyDescent="0.2">
      <c r="A585" s="1"/>
      <c r="B585" s="2"/>
    </row>
    <row r="586" spans="1:2" x14ac:dyDescent="0.2">
      <c r="A586" s="1"/>
      <c r="B586" s="2"/>
    </row>
    <row r="587" spans="1:2" x14ac:dyDescent="0.2">
      <c r="A587" s="1"/>
      <c r="B587" s="2"/>
    </row>
    <row r="588" spans="1:2" x14ac:dyDescent="0.2">
      <c r="A588" s="1"/>
      <c r="B588" s="2"/>
    </row>
    <row r="589" spans="1:2" x14ac:dyDescent="0.2">
      <c r="A589" s="1"/>
      <c r="B589" s="2"/>
    </row>
    <row r="590" spans="1:2" x14ac:dyDescent="0.2">
      <c r="A590" s="1"/>
      <c r="B590" s="2"/>
    </row>
    <row r="591" spans="1:2" x14ac:dyDescent="0.2">
      <c r="A591" s="1"/>
      <c r="B591" s="2"/>
    </row>
    <row r="592" spans="1:2" x14ac:dyDescent="0.2">
      <c r="A592" s="1"/>
      <c r="B592" s="2"/>
    </row>
    <row r="593" spans="1:2" x14ac:dyDescent="0.2">
      <c r="A593" s="1"/>
      <c r="B593" s="2"/>
    </row>
    <row r="594" spans="1:2" x14ac:dyDescent="0.2">
      <c r="A594" s="1"/>
      <c r="B594" s="2"/>
    </row>
    <row r="595" spans="1:2" x14ac:dyDescent="0.2">
      <c r="A595" s="1"/>
      <c r="B595" s="2"/>
    </row>
    <row r="596" spans="1:2" x14ac:dyDescent="0.2">
      <c r="A596" s="1"/>
      <c r="B596" s="2"/>
    </row>
    <row r="597" spans="1:2" x14ac:dyDescent="0.2">
      <c r="A597" s="1"/>
      <c r="B597" s="2"/>
    </row>
    <row r="598" spans="1:2" x14ac:dyDescent="0.2">
      <c r="A598" s="1"/>
      <c r="B598" s="2"/>
    </row>
    <row r="599" spans="1:2" x14ac:dyDescent="0.2">
      <c r="A599" s="1"/>
      <c r="B599" s="2"/>
    </row>
    <row r="600" spans="1:2" x14ac:dyDescent="0.2">
      <c r="A600" s="1"/>
      <c r="B600" s="2"/>
    </row>
    <row r="601" spans="1:2" x14ac:dyDescent="0.2">
      <c r="A601" s="1"/>
      <c r="B601" s="2"/>
    </row>
    <row r="602" spans="1:2" x14ac:dyDescent="0.2">
      <c r="A602" s="1"/>
      <c r="B602" s="2"/>
    </row>
    <row r="603" spans="1:2" x14ac:dyDescent="0.2">
      <c r="A603" s="1"/>
      <c r="B603" s="2"/>
    </row>
    <row r="604" spans="1:2" x14ac:dyDescent="0.2">
      <c r="A604" s="1"/>
      <c r="B604" s="2"/>
    </row>
    <row r="605" spans="1:2" x14ac:dyDescent="0.2">
      <c r="A605" s="1"/>
      <c r="B605" s="2"/>
    </row>
    <row r="606" spans="1:2" x14ac:dyDescent="0.2">
      <c r="A606" s="1"/>
      <c r="B606" s="2"/>
    </row>
    <row r="607" spans="1:2" x14ac:dyDescent="0.2">
      <c r="A607" s="1"/>
      <c r="B607" s="2"/>
    </row>
    <row r="608" spans="1:2" x14ac:dyDescent="0.2">
      <c r="A608" s="1"/>
      <c r="B608" s="2"/>
    </row>
    <row r="609" spans="1:2" x14ac:dyDescent="0.2">
      <c r="A609" s="1"/>
      <c r="B609" s="2"/>
    </row>
    <row r="610" spans="1:2" x14ac:dyDescent="0.2">
      <c r="A610" s="1"/>
      <c r="B610" s="2"/>
    </row>
    <row r="611" spans="1:2" x14ac:dyDescent="0.2">
      <c r="A611" s="1"/>
      <c r="B611" s="2"/>
    </row>
    <row r="612" spans="1:2" x14ac:dyDescent="0.2">
      <c r="A612" s="1"/>
      <c r="B612" s="2"/>
    </row>
    <row r="613" spans="1:2" x14ac:dyDescent="0.2">
      <c r="A613" s="1"/>
      <c r="B613" s="2"/>
    </row>
    <row r="614" spans="1:2" x14ac:dyDescent="0.2">
      <c r="A614" s="1"/>
      <c r="B614" s="2"/>
    </row>
    <row r="615" spans="1:2" x14ac:dyDescent="0.2">
      <c r="A615" s="1"/>
      <c r="B615" s="2"/>
    </row>
    <row r="616" spans="1:2" x14ac:dyDescent="0.2">
      <c r="A616" s="1"/>
      <c r="B616" s="2"/>
    </row>
    <row r="617" spans="1:2" x14ac:dyDescent="0.2">
      <c r="A617" s="1"/>
      <c r="B617" s="2"/>
    </row>
    <row r="618" spans="1:2" x14ac:dyDescent="0.2">
      <c r="A618" s="1"/>
      <c r="B618" s="2"/>
    </row>
    <row r="619" spans="1:2" x14ac:dyDescent="0.2">
      <c r="A619" s="1"/>
      <c r="B619" s="2"/>
    </row>
    <row r="620" spans="1:2" x14ac:dyDescent="0.2">
      <c r="A620" s="1"/>
      <c r="B620" s="2"/>
    </row>
    <row r="621" spans="1:2" x14ac:dyDescent="0.2">
      <c r="A621" s="1"/>
      <c r="B621" s="2"/>
    </row>
    <row r="622" spans="1:2" x14ac:dyDescent="0.2">
      <c r="A622" s="1"/>
      <c r="B622" s="2"/>
    </row>
    <row r="623" spans="1:2" x14ac:dyDescent="0.2">
      <c r="A623" s="1"/>
      <c r="B623" s="2"/>
    </row>
    <row r="624" spans="1:2" x14ac:dyDescent="0.2">
      <c r="A624" s="1"/>
      <c r="B624" s="2"/>
    </row>
    <row r="625" spans="1:2" x14ac:dyDescent="0.2">
      <c r="A625" s="1"/>
      <c r="B625" s="2"/>
    </row>
    <row r="626" spans="1:2" x14ac:dyDescent="0.2">
      <c r="A626" s="1"/>
      <c r="B626" s="2"/>
    </row>
    <row r="627" spans="1:2" x14ac:dyDescent="0.2">
      <c r="A627" s="1"/>
      <c r="B627" s="2"/>
    </row>
    <row r="628" spans="1:2" x14ac:dyDescent="0.2">
      <c r="A628" s="1"/>
      <c r="B628" s="2"/>
    </row>
    <row r="629" spans="1:2" x14ac:dyDescent="0.2">
      <c r="A629" s="1"/>
      <c r="B629" s="2"/>
    </row>
    <row r="630" spans="1:2" x14ac:dyDescent="0.2">
      <c r="A630" s="1"/>
      <c r="B630" s="2"/>
    </row>
    <row r="631" spans="1:2" x14ac:dyDescent="0.2">
      <c r="A631" s="1"/>
      <c r="B631" s="2"/>
    </row>
    <row r="632" spans="1:2" x14ac:dyDescent="0.2">
      <c r="A632" s="1"/>
      <c r="B632" s="2"/>
    </row>
    <row r="633" spans="1:2" x14ac:dyDescent="0.2">
      <c r="A633" s="1"/>
      <c r="B633" s="2"/>
    </row>
    <row r="634" spans="1:2" x14ac:dyDescent="0.2">
      <c r="A634" s="1"/>
      <c r="B634" s="2"/>
    </row>
    <row r="635" spans="1:2" x14ac:dyDescent="0.2">
      <c r="A635" s="1"/>
      <c r="B635" s="2"/>
    </row>
    <row r="636" spans="1:2" x14ac:dyDescent="0.2">
      <c r="A636" s="1"/>
      <c r="B636" s="2"/>
    </row>
    <row r="637" spans="1:2" x14ac:dyDescent="0.2">
      <c r="A637" s="1"/>
      <c r="B637" s="2"/>
    </row>
    <row r="638" spans="1:2" x14ac:dyDescent="0.2">
      <c r="A638" s="1"/>
      <c r="B638" s="2"/>
    </row>
    <row r="639" spans="1:2" x14ac:dyDescent="0.2">
      <c r="A639" s="1"/>
      <c r="B639" s="2"/>
    </row>
    <row r="640" spans="1:2" x14ac:dyDescent="0.2">
      <c r="A640" s="1"/>
      <c r="B640" s="2"/>
    </row>
    <row r="641" spans="1:2" x14ac:dyDescent="0.2">
      <c r="A641" s="1"/>
      <c r="B641" s="2"/>
    </row>
    <row r="642" spans="1:2" x14ac:dyDescent="0.2">
      <c r="A642" s="1"/>
      <c r="B642" s="2"/>
    </row>
    <row r="643" spans="1:2" x14ac:dyDescent="0.2">
      <c r="A643" s="1"/>
      <c r="B643" s="2"/>
    </row>
    <row r="644" spans="1:2" x14ac:dyDescent="0.2">
      <c r="A644" s="1"/>
      <c r="B644" s="2"/>
    </row>
    <row r="645" spans="1:2" x14ac:dyDescent="0.2">
      <c r="A645" s="1"/>
      <c r="B645" s="2"/>
    </row>
    <row r="646" spans="1:2" x14ac:dyDescent="0.2">
      <c r="A646" s="1"/>
      <c r="B646" s="2"/>
    </row>
    <row r="647" spans="1:2" x14ac:dyDescent="0.2">
      <c r="A647" s="1"/>
      <c r="B647" s="2"/>
    </row>
    <row r="648" spans="1:2" x14ac:dyDescent="0.2">
      <c r="A648" s="1"/>
      <c r="B648" s="2"/>
    </row>
    <row r="649" spans="1:2" x14ac:dyDescent="0.2">
      <c r="A649" s="1"/>
      <c r="B649" s="2"/>
    </row>
    <row r="650" spans="1:2" x14ac:dyDescent="0.2">
      <c r="A650" s="1"/>
      <c r="B650" s="2"/>
    </row>
    <row r="651" spans="1:2" x14ac:dyDescent="0.2">
      <c r="A651" s="1"/>
      <c r="B651" s="2"/>
    </row>
    <row r="652" spans="1:2" x14ac:dyDescent="0.2">
      <c r="A652" s="1"/>
      <c r="B652" s="2"/>
    </row>
    <row r="653" spans="1:2" x14ac:dyDescent="0.2">
      <c r="A653" s="1"/>
      <c r="B653" s="2"/>
    </row>
    <row r="654" spans="1:2" x14ac:dyDescent="0.2">
      <c r="A654" s="1"/>
      <c r="B654" s="2"/>
    </row>
    <row r="655" spans="1:2" x14ac:dyDescent="0.2">
      <c r="A655" s="1"/>
      <c r="B655" s="2"/>
    </row>
    <row r="656" spans="1:2" x14ac:dyDescent="0.2">
      <c r="A656" s="1"/>
      <c r="B656" s="2"/>
    </row>
    <row r="657" spans="1:2" x14ac:dyDescent="0.2">
      <c r="A657" s="1"/>
      <c r="B657" s="2"/>
    </row>
    <row r="658" spans="1:2" x14ac:dyDescent="0.2">
      <c r="A658" s="1"/>
      <c r="B658" s="2"/>
    </row>
    <row r="659" spans="1:2" x14ac:dyDescent="0.2">
      <c r="A659" s="1"/>
      <c r="B659" s="2"/>
    </row>
    <row r="660" spans="1:2" x14ac:dyDescent="0.2">
      <c r="A660" s="1"/>
      <c r="B660" s="2"/>
    </row>
    <row r="661" spans="1:2" x14ac:dyDescent="0.2">
      <c r="A661" s="1"/>
      <c r="B661" s="2"/>
    </row>
    <row r="662" spans="1:2" x14ac:dyDescent="0.2">
      <c r="A662" s="1"/>
      <c r="B662" s="2"/>
    </row>
    <row r="663" spans="1:2" x14ac:dyDescent="0.2">
      <c r="A663" s="1"/>
      <c r="B663" s="2"/>
    </row>
    <row r="664" spans="1:2" x14ac:dyDescent="0.2">
      <c r="A664" s="1"/>
      <c r="B664" s="2"/>
    </row>
    <row r="665" spans="1:2" x14ac:dyDescent="0.2">
      <c r="A665" s="1"/>
      <c r="B665" s="2"/>
    </row>
    <row r="666" spans="1:2" x14ac:dyDescent="0.2">
      <c r="A666" s="1"/>
      <c r="B666" s="2"/>
    </row>
    <row r="667" spans="1:2" x14ac:dyDescent="0.2">
      <c r="A667" s="1"/>
      <c r="B667" s="2"/>
    </row>
    <row r="668" spans="1:2" x14ac:dyDescent="0.2">
      <c r="A668" s="1"/>
      <c r="B668" s="2"/>
    </row>
    <row r="669" spans="1:2" x14ac:dyDescent="0.2">
      <c r="A669" s="1"/>
      <c r="B669" s="2"/>
    </row>
    <row r="670" spans="1:2" x14ac:dyDescent="0.2">
      <c r="A670" s="1"/>
      <c r="B670" s="2"/>
    </row>
    <row r="671" spans="1:2" x14ac:dyDescent="0.2">
      <c r="A671" s="1"/>
      <c r="B671" s="2"/>
    </row>
    <row r="672" spans="1:2" x14ac:dyDescent="0.2">
      <c r="A672" s="1"/>
      <c r="B672" s="2"/>
    </row>
    <row r="673" spans="1:2" x14ac:dyDescent="0.2">
      <c r="A673" s="1"/>
      <c r="B673" s="2"/>
    </row>
    <row r="674" spans="1:2" x14ac:dyDescent="0.2">
      <c r="A674" s="1"/>
      <c r="B674" s="2"/>
    </row>
    <row r="675" spans="1:2" x14ac:dyDescent="0.2">
      <c r="A675" s="1"/>
      <c r="B675" s="2"/>
    </row>
    <row r="676" spans="1:2" x14ac:dyDescent="0.2">
      <c r="A676" s="1"/>
      <c r="B676" s="2"/>
    </row>
    <row r="677" spans="1:2" x14ac:dyDescent="0.2">
      <c r="A677" s="1"/>
      <c r="B677" s="2"/>
    </row>
    <row r="678" spans="1:2" x14ac:dyDescent="0.2">
      <c r="A678" s="1"/>
      <c r="B678" s="2"/>
    </row>
    <row r="679" spans="1:2" x14ac:dyDescent="0.2">
      <c r="A679" s="1"/>
      <c r="B679" s="2"/>
    </row>
    <row r="680" spans="1:2" x14ac:dyDescent="0.2">
      <c r="A680" s="1"/>
      <c r="B680" s="2"/>
    </row>
    <row r="681" spans="1:2" x14ac:dyDescent="0.2">
      <c r="A681" s="1"/>
      <c r="B681" s="2"/>
    </row>
    <row r="682" spans="1:2" x14ac:dyDescent="0.2">
      <c r="A682" s="1"/>
      <c r="B682" s="2"/>
    </row>
    <row r="683" spans="1:2" x14ac:dyDescent="0.2">
      <c r="A683" s="1"/>
      <c r="B683" s="2"/>
    </row>
    <row r="684" spans="1:2" x14ac:dyDescent="0.2">
      <c r="A684" s="1"/>
      <c r="B684" s="2"/>
    </row>
    <row r="685" spans="1:2" x14ac:dyDescent="0.2">
      <c r="A685" s="1"/>
      <c r="B685" s="2"/>
    </row>
    <row r="686" spans="1:2" x14ac:dyDescent="0.2">
      <c r="A686" s="1"/>
      <c r="B686" s="2"/>
    </row>
    <row r="687" spans="1:2" x14ac:dyDescent="0.2">
      <c r="A687" s="1"/>
      <c r="B687" s="2"/>
    </row>
    <row r="688" spans="1:2" x14ac:dyDescent="0.2">
      <c r="A688" s="1"/>
      <c r="B688" s="2"/>
    </row>
    <row r="689" spans="1:2" x14ac:dyDescent="0.2">
      <c r="A689" s="1"/>
      <c r="B689" s="2"/>
    </row>
    <row r="690" spans="1:2" x14ac:dyDescent="0.2">
      <c r="A690" s="1"/>
      <c r="B690" s="2"/>
    </row>
    <row r="691" spans="1:2" x14ac:dyDescent="0.2">
      <c r="A691" s="1"/>
      <c r="B691" s="2"/>
    </row>
    <row r="692" spans="1:2" x14ac:dyDescent="0.2">
      <c r="A692" s="1"/>
      <c r="B692" s="2"/>
    </row>
    <row r="693" spans="1:2" x14ac:dyDescent="0.2">
      <c r="A693" s="1"/>
      <c r="B693" s="2"/>
    </row>
    <row r="694" spans="1:2" x14ac:dyDescent="0.2">
      <c r="A694" s="1"/>
      <c r="B694" s="2"/>
    </row>
    <row r="695" spans="1:2" x14ac:dyDescent="0.2">
      <c r="A695" s="1"/>
      <c r="B695" s="2"/>
    </row>
    <row r="696" spans="1:2" x14ac:dyDescent="0.2">
      <c r="A696" s="1"/>
      <c r="B696" s="2"/>
    </row>
    <row r="697" spans="1:2" x14ac:dyDescent="0.2">
      <c r="A697" s="1"/>
      <c r="B697" s="2"/>
    </row>
    <row r="698" spans="1:2" x14ac:dyDescent="0.2">
      <c r="A698" s="1"/>
      <c r="B698" s="2"/>
    </row>
    <row r="699" spans="1:2" x14ac:dyDescent="0.2">
      <c r="A699" s="1"/>
      <c r="B699" s="2"/>
    </row>
    <row r="700" spans="1:2" x14ac:dyDescent="0.2">
      <c r="A700" s="1"/>
      <c r="B700" s="2"/>
    </row>
    <row r="701" spans="1:2" x14ac:dyDescent="0.2">
      <c r="A701" s="1"/>
      <c r="B701" s="2"/>
    </row>
    <row r="702" spans="1:2" x14ac:dyDescent="0.2">
      <c r="A702" s="1"/>
      <c r="B702" s="2"/>
    </row>
    <row r="703" spans="1:2" x14ac:dyDescent="0.2">
      <c r="A703" s="1"/>
      <c r="B703" s="2"/>
    </row>
    <row r="704" spans="1:2" x14ac:dyDescent="0.2">
      <c r="A704" s="1"/>
      <c r="B704" s="2"/>
    </row>
    <row r="705" spans="1:2" x14ac:dyDescent="0.2">
      <c r="A705" s="1"/>
      <c r="B705" s="2"/>
    </row>
    <row r="706" spans="1:2" x14ac:dyDescent="0.2">
      <c r="A706" s="1"/>
      <c r="B706" s="2"/>
    </row>
    <row r="707" spans="1:2" x14ac:dyDescent="0.2">
      <c r="A707" s="1"/>
      <c r="B707" s="2"/>
    </row>
    <row r="708" spans="1:2" x14ac:dyDescent="0.2">
      <c r="A708" s="1"/>
      <c r="B708" s="2"/>
    </row>
    <row r="709" spans="1:2" x14ac:dyDescent="0.2">
      <c r="A709" s="1"/>
      <c r="B709" s="2"/>
    </row>
    <row r="710" spans="1:2" x14ac:dyDescent="0.2">
      <c r="A710" s="1"/>
      <c r="B710" s="2"/>
    </row>
    <row r="711" spans="1:2" x14ac:dyDescent="0.2">
      <c r="A711" s="1"/>
      <c r="B711" s="2"/>
    </row>
    <row r="712" spans="1:2" x14ac:dyDescent="0.2">
      <c r="A712" s="1"/>
      <c r="B712" s="2"/>
    </row>
    <row r="713" spans="1:2" x14ac:dyDescent="0.2">
      <c r="A713" s="1"/>
      <c r="B713" s="2"/>
    </row>
    <row r="714" spans="1:2" x14ac:dyDescent="0.2">
      <c r="A714" s="1"/>
      <c r="B714" s="2"/>
    </row>
    <row r="715" spans="1:2" x14ac:dyDescent="0.2">
      <c r="A715" s="1"/>
      <c r="B715" s="2"/>
    </row>
    <row r="716" spans="1:2" x14ac:dyDescent="0.2">
      <c r="A716" s="1"/>
      <c r="B716" s="2"/>
    </row>
    <row r="717" spans="1:2" x14ac:dyDescent="0.2">
      <c r="A717" s="1"/>
      <c r="B717" s="2"/>
    </row>
    <row r="718" spans="1:2" x14ac:dyDescent="0.2">
      <c r="A718" s="1"/>
      <c r="B718" s="2"/>
    </row>
    <row r="719" spans="1:2" x14ac:dyDescent="0.2">
      <c r="A719" s="1"/>
      <c r="B719" s="2"/>
    </row>
    <row r="720" spans="1:2" x14ac:dyDescent="0.2">
      <c r="A720" s="1"/>
      <c r="B720" s="2"/>
    </row>
    <row r="721" spans="1:2" x14ac:dyDescent="0.2">
      <c r="A721" s="1"/>
      <c r="B721" s="2"/>
    </row>
    <row r="722" spans="1:2" x14ac:dyDescent="0.2">
      <c r="A722" s="1"/>
      <c r="B722" s="2"/>
    </row>
    <row r="723" spans="1:2" x14ac:dyDescent="0.2">
      <c r="A723" s="1"/>
      <c r="B723" s="2"/>
    </row>
    <row r="724" spans="1:2" x14ac:dyDescent="0.2">
      <c r="A724" s="1"/>
      <c r="B724" s="2"/>
    </row>
    <row r="725" spans="1:2" x14ac:dyDescent="0.2">
      <c r="A725" s="1"/>
      <c r="B725" s="2"/>
    </row>
    <row r="726" spans="1:2" x14ac:dyDescent="0.2">
      <c r="A726" s="1"/>
      <c r="B726" s="2"/>
    </row>
    <row r="727" spans="1:2" x14ac:dyDescent="0.2">
      <c r="A727" s="1"/>
      <c r="B727" s="2"/>
    </row>
    <row r="728" spans="1:2" x14ac:dyDescent="0.2">
      <c r="A728" s="1"/>
      <c r="B728" s="2"/>
    </row>
    <row r="729" spans="1:2" x14ac:dyDescent="0.2">
      <c r="A729" s="1"/>
      <c r="B729" s="2"/>
    </row>
    <row r="730" spans="1:2" x14ac:dyDescent="0.2">
      <c r="A730" s="1"/>
      <c r="B730" s="2"/>
    </row>
    <row r="731" spans="1:2" x14ac:dyDescent="0.2">
      <c r="A731" s="1"/>
      <c r="B731" s="2"/>
    </row>
    <row r="732" spans="1:2" x14ac:dyDescent="0.2">
      <c r="A732" s="1"/>
      <c r="B732" s="2"/>
    </row>
    <row r="733" spans="1:2" x14ac:dyDescent="0.2">
      <c r="A733" s="1"/>
      <c r="B733" s="2"/>
    </row>
    <row r="734" spans="1:2" x14ac:dyDescent="0.2">
      <c r="A734" s="1"/>
      <c r="B734" s="2"/>
    </row>
    <row r="735" spans="1:2" x14ac:dyDescent="0.2">
      <c r="A735" s="1"/>
      <c r="B735" s="2"/>
    </row>
    <row r="736" spans="1:2" x14ac:dyDescent="0.2">
      <c r="A736" s="1"/>
      <c r="B736" s="2"/>
    </row>
    <row r="737" spans="1:2" x14ac:dyDescent="0.2">
      <c r="A737" s="1"/>
      <c r="B737" s="2"/>
    </row>
    <row r="738" spans="1:2" x14ac:dyDescent="0.2">
      <c r="A738" s="1"/>
      <c r="B738" s="2"/>
    </row>
    <row r="739" spans="1:2" x14ac:dyDescent="0.2">
      <c r="A739" s="1"/>
      <c r="B739" s="2"/>
    </row>
    <row r="740" spans="1:2" x14ac:dyDescent="0.2">
      <c r="A740" s="1"/>
      <c r="B740" s="2"/>
    </row>
    <row r="741" spans="1:2" x14ac:dyDescent="0.2">
      <c r="A741" s="1"/>
      <c r="B741" s="2"/>
    </row>
    <row r="742" spans="1:2" x14ac:dyDescent="0.2">
      <c r="A742" s="1"/>
      <c r="B742" s="2"/>
    </row>
    <row r="743" spans="1:2" x14ac:dyDescent="0.2">
      <c r="A743" s="1"/>
      <c r="B743" s="2"/>
    </row>
    <row r="744" spans="1:2" x14ac:dyDescent="0.2">
      <c r="A744" s="1"/>
      <c r="B744" s="2"/>
    </row>
    <row r="745" spans="1:2" x14ac:dyDescent="0.2">
      <c r="A745" s="1"/>
      <c r="B745" s="2"/>
    </row>
    <row r="746" spans="1:2" x14ac:dyDescent="0.2">
      <c r="A746" s="1"/>
      <c r="B746" s="2"/>
    </row>
    <row r="747" spans="1:2" x14ac:dyDescent="0.2">
      <c r="A747" s="1"/>
      <c r="B747" s="2"/>
    </row>
    <row r="748" spans="1:2" x14ac:dyDescent="0.2">
      <c r="A748" s="1"/>
      <c r="B748" s="2"/>
    </row>
    <row r="749" spans="1:2" x14ac:dyDescent="0.2">
      <c r="A749" s="1"/>
      <c r="B749" s="2"/>
    </row>
    <row r="750" spans="1:2" x14ac:dyDescent="0.2">
      <c r="A750" s="1"/>
      <c r="B750" s="2"/>
    </row>
    <row r="751" spans="1:2" x14ac:dyDescent="0.2">
      <c r="A751" s="1"/>
      <c r="B751" s="2"/>
    </row>
    <row r="752" spans="1:2" x14ac:dyDescent="0.2">
      <c r="A752" s="1"/>
      <c r="B752" s="2"/>
    </row>
    <row r="753" spans="1:2" x14ac:dyDescent="0.2">
      <c r="A753" s="1"/>
      <c r="B753" s="2"/>
    </row>
    <row r="754" spans="1:2" x14ac:dyDescent="0.2">
      <c r="A754" s="1"/>
      <c r="B754" s="2"/>
    </row>
    <row r="755" spans="1:2" x14ac:dyDescent="0.2">
      <c r="A755" s="1"/>
      <c r="B755" s="2"/>
    </row>
    <row r="756" spans="1:2" x14ac:dyDescent="0.2">
      <c r="A756" s="1"/>
      <c r="B756" s="2"/>
    </row>
    <row r="757" spans="1:2" x14ac:dyDescent="0.2">
      <c r="A757" s="1"/>
      <c r="B757" s="2"/>
    </row>
    <row r="758" spans="1:2" x14ac:dyDescent="0.2">
      <c r="A758" s="1"/>
      <c r="B758" s="2"/>
    </row>
    <row r="759" spans="1:2" x14ac:dyDescent="0.2">
      <c r="A759" s="1"/>
      <c r="B759" s="2"/>
    </row>
    <row r="760" spans="1:2" x14ac:dyDescent="0.2">
      <c r="A760" s="1"/>
      <c r="B760" s="2"/>
    </row>
    <row r="761" spans="1:2" x14ac:dyDescent="0.2">
      <c r="A761" s="1"/>
      <c r="B761" s="2"/>
    </row>
    <row r="762" spans="1:2" x14ac:dyDescent="0.2">
      <c r="A762" s="1"/>
      <c r="B762" s="2"/>
    </row>
    <row r="763" spans="1:2" x14ac:dyDescent="0.2">
      <c r="A763" s="1"/>
      <c r="B763" s="2"/>
    </row>
    <row r="764" spans="1:2" x14ac:dyDescent="0.2">
      <c r="A764" s="1"/>
      <c r="B764" s="2"/>
    </row>
    <row r="765" spans="1:2" x14ac:dyDescent="0.2">
      <c r="A765" s="1"/>
      <c r="B765" s="2"/>
    </row>
    <row r="766" spans="1:2" x14ac:dyDescent="0.2">
      <c r="A766" s="1"/>
      <c r="B766" s="2"/>
    </row>
    <row r="767" spans="1:2" x14ac:dyDescent="0.2">
      <c r="A767" s="1"/>
      <c r="B767" s="2"/>
    </row>
    <row r="768" spans="1:2" x14ac:dyDescent="0.2">
      <c r="A768" s="1"/>
      <c r="B768" s="2"/>
    </row>
    <row r="769" spans="1:2" x14ac:dyDescent="0.2">
      <c r="A769" s="1"/>
      <c r="B769" s="2"/>
    </row>
    <row r="770" spans="1:2" x14ac:dyDescent="0.2">
      <c r="A770" s="1"/>
      <c r="B770" s="2"/>
    </row>
    <row r="771" spans="1:2" x14ac:dyDescent="0.2">
      <c r="A771" s="1"/>
      <c r="B771" s="2"/>
    </row>
    <row r="772" spans="1:2" x14ac:dyDescent="0.2">
      <c r="A772" s="1"/>
      <c r="B772" s="2"/>
    </row>
    <row r="773" spans="1:2" x14ac:dyDescent="0.2">
      <c r="A773" s="1"/>
      <c r="B773" s="2"/>
    </row>
    <row r="774" spans="1:2" x14ac:dyDescent="0.2">
      <c r="A774" s="1"/>
      <c r="B774" s="2"/>
    </row>
    <row r="775" spans="1:2" x14ac:dyDescent="0.2">
      <c r="A775" s="1"/>
      <c r="B775" s="2"/>
    </row>
    <row r="776" spans="1:2" x14ac:dyDescent="0.2">
      <c r="A776" s="1"/>
      <c r="B776" s="2"/>
    </row>
    <row r="777" spans="1:2" x14ac:dyDescent="0.2">
      <c r="A777" s="1"/>
      <c r="B777" s="2"/>
    </row>
    <row r="778" spans="1:2" x14ac:dyDescent="0.2">
      <c r="A778" s="1"/>
      <c r="B778" s="2"/>
    </row>
    <row r="779" spans="1:2" x14ac:dyDescent="0.2">
      <c r="A779" s="1"/>
      <c r="B779" s="2"/>
    </row>
    <row r="780" spans="1:2" x14ac:dyDescent="0.2">
      <c r="A780" s="1"/>
      <c r="B780" s="2"/>
    </row>
    <row r="781" spans="1:2" x14ac:dyDescent="0.2">
      <c r="A781" s="1"/>
      <c r="B781" s="2"/>
    </row>
    <row r="782" spans="1:2" x14ac:dyDescent="0.2">
      <c r="A782" s="1"/>
      <c r="B782" s="2"/>
    </row>
    <row r="783" spans="1:2" x14ac:dyDescent="0.2">
      <c r="A783" s="1"/>
      <c r="B783" s="2"/>
    </row>
    <row r="784" spans="1:2" x14ac:dyDescent="0.2">
      <c r="A784" s="1"/>
      <c r="B784" s="2"/>
    </row>
    <row r="785" spans="1:2" x14ac:dyDescent="0.2">
      <c r="A785" s="1"/>
      <c r="B785" s="2"/>
    </row>
    <row r="786" spans="1:2" x14ac:dyDescent="0.2">
      <c r="A786" s="1"/>
      <c r="B786" s="2"/>
    </row>
    <row r="787" spans="1:2" x14ac:dyDescent="0.2">
      <c r="A787" s="1"/>
      <c r="B787" s="2"/>
    </row>
    <row r="788" spans="1:2" x14ac:dyDescent="0.2">
      <c r="A788" s="1"/>
      <c r="B788" s="2"/>
    </row>
    <row r="789" spans="1:2" x14ac:dyDescent="0.2">
      <c r="A789" s="1"/>
      <c r="B789" s="2"/>
    </row>
    <row r="790" spans="1:2" x14ac:dyDescent="0.2">
      <c r="A790" s="1"/>
      <c r="B790" s="2"/>
    </row>
    <row r="791" spans="1:2" x14ac:dyDescent="0.2">
      <c r="A791" s="1"/>
      <c r="B791" s="2"/>
    </row>
    <row r="792" spans="1:2" x14ac:dyDescent="0.2">
      <c r="A792" s="1"/>
      <c r="B792" s="2"/>
    </row>
    <row r="793" spans="1:2" x14ac:dyDescent="0.2">
      <c r="A793" s="1"/>
      <c r="B793" s="2"/>
    </row>
    <row r="794" spans="1:2" x14ac:dyDescent="0.2">
      <c r="A794" s="1"/>
      <c r="B794" s="2"/>
    </row>
    <row r="795" spans="1:2" x14ac:dyDescent="0.2">
      <c r="A795" s="1"/>
      <c r="B795" s="2"/>
    </row>
    <row r="796" spans="1:2" x14ac:dyDescent="0.2">
      <c r="A796" s="1"/>
      <c r="B796" s="2"/>
    </row>
    <row r="797" spans="1:2" x14ac:dyDescent="0.2">
      <c r="A797" s="1"/>
      <c r="B797" s="2"/>
    </row>
    <row r="798" spans="1:2" x14ac:dyDescent="0.2">
      <c r="A798" s="1"/>
      <c r="B798" s="2"/>
    </row>
    <row r="799" spans="1:2" x14ac:dyDescent="0.2">
      <c r="A799" s="1"/>
      <c r="B799" s="2"/>
    </row>
    <row r="800" spans="1:2" x14ac:dyDescent="0.2">
      <c r="A800" s="1"/>
      <c r="B800" s="2"/>
    </row>
    <row r="801" spans="1:2" x14ac:dyDescent="0.2">
      <c r="A801" s="1"/>
      <c r="B801" s="2"/>
    </row>
    <row r="802" spans="1:2" x14ac:dyDescent="0.2">
      <c r="A802" s="1"/>
      <c r="B802" s="2"/>
    </row>
    <row r="803" spans="1:2" x14ac:dyDescent="0.2">
      <c r="A803" s="1"/>
      <c r="B803" s="2"/>
    </row>
    <row r="804" spans="1:2" x14ac:dyDescent="0.2">
      <c r="A804" s="1"/>
      <c r="B804" s="2"/>
    </row>
    <row r="805" spans="1:2" x14ac:dyDescent="0.2">
      <c r="A805" s="1"/>
      <c r="B805" s="2"/>
    </row>
    <row r="806" spans="1:2" x14ac:dyDescent="0.2">
      <c r="A806" s="1"/>
      <c r="B806" s="2"/>
    </row>
    <row r="807" spans="1:2" x14ac:dyDescent="0.2">
      <c r="A807" s="1"/>
      <c r="B807" s="2"/>
    </row>
    <row r="808" spans="1:2" x14ac:dyDescent="0.2">
      <c r="A808" s="1"/>
      <c r="B808" s="2"/>
    </row>
    <row r="809" spans="1:2" x14ac:dyDescent="0.2">
      <c r="A809" s="1"/>
      <c r="B809" s="2"/>
    </row>
    <row r="810" spans="1:2" x14ac:dyDescent="0.2">
      <c r="A810" s="1"/>
      <c r="B810" s="2"/>
    </row>
    <row r="811" spans="1:2" x14ac:dyDescent="0.2">
      <c r="A811" s="1"/>
      <c r="B811" s="2"/>
    </row>
    <row r="812" spans="1:2" x14ac:dyDescent="0.2">
      <c r="A812" s="1"/>
      <c r="B812" s="2"/>
    </row>
    <row r="813" spans="1:2" x14ac:dyDescent="0.2">
      <c r="A813" s="1"/>
      <c r="B813" s="2"/>
    </row>
    <row r="814" spans="1:2" x14ac:dyDescent="0.2">
      <c r="A814" s="1"/>
      <c r="B814" s="2"/>
    </row>
    <row r="815" spans="1:2" x14ac:dyDescent="0.2">
      <c r="A815" s="1"/>
      <c r="B815" s="2"/>
    </row>
    <row r="816" spans="1:2" x14ac:dyDescent="0.2">
      <c r="A816" s="1"/>
      <c r="B816" s="2"/>
    </row>
    <row r="817" spans="1:2" x14ac:dyDescent="0.2">
      <c r="A817" s="1"/>
      <c r="B817" s="2"/>
    </row>
    <row r="818" spans="1:2" x14ac:dyDescent="0.2">
      <c r="A818" s="1"/>
      <c r="B818" s="2"/>
    </row>
    <row r="819" spans="1:2" x14ac:dyDescent="0.2">
      <c r="A819" s="1"/>
      <c r="B819" s="2"/>
    </row>
    <row r="820" spans="1:2" x14ac:dyDescent="0.2">
      <c r="A820" s="1"/>
      <c r="B820" s="2"/>
    </row>
    <row r="821" spans="1:2" x14ac:dyDescent="0.2">
      <c r="A821" s="1"/>
      <c r="B821" s="2"/>
    </row>
    <row r="822" spans="1:2" x14ac:dyDescent="0.2">
      <c r="A822" s="1"/>
      <c r="B822" s="2"/>
    </row>
    <row r="823" spans="1:2" x14ac:dyDescent="0.2">
      <c r="A823" s="1"/>
      <c r="B823" s="2"/>
    </row>
    <row r="824" spans="1:2" x14ac:dyDescent="0.2">
      <c r="A824" s="1"/>
      <c r="B824" s="2"/>
    </row>
    <row r="825" spans="1:2" x14ac:dyDescent="0.2">
      <c r="A825" s="1"/>
      <c r="B825" s="2"/>
    </row>
    <row r="826" spans="1:2" x14ac:dyDescent="0.2">
      <c r="A826" s="1"/>
      <c r="B826" s="2"/>
    </row>
    <row r="827" spans="1:2" x14ac:dyDescent="0.2">
      <c r="A827" s="1"/>
      <c r="B827" s="2"/>
    </row>
    <row r="828" spans="1:2" x14ac:dyDescent="0.2">
      <c r="A828" s="1"/>
      <c r="B828" s="2"/>
    </row>
    <row r="829" spans="1:2" x14ac:dyDescent="0.2">
      <c r="A829" s="1"/>
      <c r="B829" s="2"/>
    </row>
    <row r="830" spans="1:2" x14ac:dyDescent="0.2">
      <c r="A830" s="1"/>
      <c r="B830" s="2"/>
    </row>
    <row r="831" spans="1:2" x14ac:dyDescent="0.2">
      <c r="A831" s="1"/>
      <c r="B831" s="2"/>
    </row>
    <row r="832" spans="1:2" x14ac:dyDescent="0.2">
      <c r="A832" s="1"/>
      <c r="B832" s="2"/>
    </row>
    <row r="833" spans="1:2" x14ac:dyDescent="0.2">
      <c r="A833" s="1"/>
      <c r="B833" s="2"/>
    </row>
    <row r="834" spans="1:2" x14ac:dyDescent="0.2">
      <c r="A834" s="1"/>
      <c r="B834" s="2"/>
    </row>
    <row r="835" spans="1:2" x14ac:dyDescent="0.2">
      <c r="A835" s="1"/>
      <c r="B835" s="2"/>
    </row>
    <row r="836" spans="1:2" x14ac:dyDescent="0.2">
      <c r="A836" s="1"/>
      <c r="B836" s="2"/>
    </row>
    <row r="837" spans="1:2" x14ac:dyDescent="0.2">
      <c r="A837" s="1"/>
      <c r="B837" s="2"/>
    </row>
    <row r="838" spans="1:2" x14ac:dyDescent="0.2">
      <c r="A838" s="1"/>
      <c r="B838" s="2"/>
    </row>
    <row r="839" spans="1:2" x14ac:dyDescent="0.2">
      <c r="A839" s="1"/>
      <c r="B839" s="2"/>
    </row>
    <row r="840" spans="1:2" x14ac:dyDescent="0.2">
      <c r="A840" s="1"/>
      <c r="B840" s="2"/>
    </row>
    <row r="841" spans="1:2" x14ac:dyDescent="0.2">
      <c r="A841" s="1"/>
      <c r="B841" s="2"/>
    </row>
    <row r="842" spans="1:2" x14ac:dyDescent="0.2">
      <c r="A842" s="1"/>
      <c r="B842" s="2"/>
    </row>
    <row r="843" spans="1:2" x14ac:dyDescent="0.2">
      <c r="A843" s="1"/>
      <c r="B843" s="2"/>
    </row>
    <row r="844" spans="1:2" x14ac:dyDescent="0.2">
      <c r="A844" s="1"/>
      <c r="B844" s="2"/>
    </row>
    <row r="845" spans="1:2" x14ac:dyDescent="0.2">
      <c r="A845" s="1"/>
      <c r="B845" s="2"/>
    </row>
    <row r="846" spans="1:2" x14ac:dyDescent="0.2">
      <c r="A846" s="1"/>
      <c r="B846" s="2"/>
    </row>
    <row r="847" spans="1:2" x14ac:dyDescent="0.2">
      <c r="A847" s="1"/>
      <c r="B847" s="2"/>
    </row>
    <row r="848" spans="1:2" x14ac:dyDescent="0.2">
      <c r="A848" s="1"/>
      <c r="B848" s="2"/>
    </row>
    <row r="849" spans="1:2" x14ac:dyDescent="0.2">
      <c r="A849" s="1"/>
      <c r="B849" s="2"/>
    </row>
    <row r="850" spans="1:2" x14ac:dyDescent="0.2">
      <c r="A850" s="1"/>
      <c r="B850" s="2"/>
    </row>
    <row r="851" spans="1:2" x14ac:dyDescent="0.2">
      <c r="A851" s="1"/>
      <c r="B851" s="2"/>
    </row>
    <row r="852" spans="1:2" x14ac:dyDescent="0.2">
      <c r="A852" s="1"/>
      <c r="B852" s="2"/>
    </row>
    <row r="853" spans="1:2" x14ac:dyDescent="0.2">
      <c r="A853" s="1"/>
      <c r="B853" s="2"/>
    </row>
    <row r="854" spans="1:2" x14ac:dyDescent="0.2">
      <c r="A854" s="1"/>
      <c r="B854" s="2"/>
    </row>
    <row r="855" spans="1:2" x14ac:dyDescent="0.2">
      <c r="A855" s="1"/>
      <c r="B855" s="2"/>
    </row>
    <row r="856" spans="1:2" x14ac:dyDescent="0.2">
      <c r="A856" s="1"/>
      <c r="B856" s="2"/>
    </row>
    <row r="857" spans="1:2" x14ac:dyDescent="0.2">
      <c r="A857" s="1"/>
      <c r="B857" s="2"/>
    </row>
    <row r="858" spans="1:2" x14ac:dyDescent="0.2">
      <c r="A858" s="1"/>
      <c r="B858" s="2"/>
    </row>
    <row r="859" spans="1:2" x14ac:dyDescent="0.2">
      <c r="A859" s="1"/>
      <c r="B859" s="2"/>
    </row>
    <row r="860" spans="1:2" x14ac:dyDescent="0.2">
      <c r="A860" s="1"/>
      <c r="B860" s="2"/>
    </row>
    <row r="861" spans="1:2" x14ac:dyDescent="0.2">
      <c r="A861" s="1"/>
      <c r="B861" s="2"/>
    </row>
    <row r="862" spans="1:2" x14ac:dyDescent="0.2">
      <c r="A862" s="1"/>
      <c r="B862" s="2"/>
    </row>
    <row r="863" spans="1:2" x14ac:dyDescent="0.2">
      <c r="A863" s="1"/>
      <c r="B863" s="2"/>
    </row>
    <row r="864" spans="1:2" x14ac:dyDescent="0.2">
      <c r="A864" s="1"/>
      <c r="B864" s="2"/>
    </row>
    <row r="865" spans="1:2" x14ac:dyDescent="0.2">
      <c r="A865" s="1"/>
      <c r="B865" s="2"/>
    </row>
    <row r="866" spans="1:2" x14ac:dyDescent="0.2">
      <c r="A866" s="1"/>
      <c r="B866" s="2"/>
    </row>
    <row r="867" spans="1:2" x14ac:dyDescent="0.2">
      <c r="A867" s="1"/>
      <c r="B867" s="2"/>
    </row>
    <row r="868" spans="1:2" x14ac:dyDescent="0.2">
      <c r="A868" s="1"/>
      <c r="B868" s="2"/>
    </row>
    <row r="869" spans="1:2" x14ac:dyDescent="0.2">
      <c r="A869" s="1"/>
      <c r="B869" s="2"/>
    </row>
    <row r="870" spans="1:2" x14ac:dyDescent="0.2">
      <c r="A870" s="1"/>
      <c r="B870" s="2"/>
    </row>
    <row r="871" spans="1:2" x14ac:dyDescent="0.2">
      <c r="A871" s="1"/>
      <c r="B871" s="2"/>
    </row>
    <row r="872" spans="1:2" x14ac:dyDescent="0.2">
      <c r="A872" s="1"/>
      <c r="B872" s="2"/>
    </row>
    <row r="873" spans="1:2" x14ac:dyDescent="0.2">
      <c r="A873" s="1"/>
      <c r="B873" s="2"/>
    </row>
    <row r="874" spans="1:2" x14ac:dyDescent="0.2">
      <c r="A874" s="1"/>
      <c r="B874" s="2"/>
    </row>
    <row r="875" spans="1:2" x14ac:dyDescent="0.2">
      <c r="A875" s="1"/>
      <c r="B875" s="2"/>
    </row>
    <row r="876" spans="1:2" x14ac:dyDescent="0.2">
      <c r="A876" s="1"/>
      <c r="B876" s="2"/>
    </row>
    <row r="877" spans="1:2" x14ac:dyDescent="0.2">
      <c r="A877" s="1"/>
      <c r="B877" s="2"/>
    </row>
    <row r="878" spans="1:2" x14ac:dyDescent="0.2">
      <c r="A878" s="1"/>
      <c r="B878" s="2"/>
    </row>
    <row r="879" spans="1:2" x14ac:dyDescent="0.2">
      <c r="A879" s="1"/>
      <c r="B879" s="2"/>
    </row>
    <row r="880" spans="1:2" x14ac:dyDescent="0.2">
      <c r="A880" s="1"/>
      <c r="B880" s="2"/>
    </row>
    <row r="881" spans="1:2" x14ac:dyDescent="0.2">
      <c r="A881" s="1"/>
      <c r="B881" s="2"/>
    </row>
    <row r="882" spans="1:2" x14ac:dyDescent="0.2">
      <c r="A882" s="1"/>
      <c r="B882" s="2"/>
    </row>
    <row r="883" spans="1:2" x14ac:dyDescent="0.2">
      <c r="A883" s="1"/>
      <c r="B883" s="2"/>
    </row>
    <row r="884" spans="1:2" x14ac:dyDescent="0.2">
      <c r="A884" s="1"/>
      <c r="B884" s="2"/>
    </row>
    <row r="885" spans="1:2" x14ac:dyDescent="0.2">
      <c r="A885" s="1"/>
      <c r="B885" s="2"/>
    </row>
    <row r="886" spans="1:2" x14ac:dyDescent="0.2">
      <c r="A886" s="1"/>
      <c r="B886" s="2"/>
    </row>
    <row r="887" spans="1:2" x14ac:dyDescent="0.2">
      <c r="A887" s="1"/>
      <c r="B887" s="2"/>
    </row>
    <row r="888" spans="1:2" x14ac:dyDescent="0.2">
      <c r="A888" s="1"/>
      <c r="B888" s="2"/>
    </row>
    <row r="889" spans="1:2" x14ac:dyDescent="0.2">
      <c r="A889" s="1"/>
      <c r="B889" s="2"/>
    </row>
    <row r="890" spans="1:2" x14ac:dyDescent="0.2">
      <c r="A890" s="1"/>
      <c r="B890" s="2"/>
    </row>
    <row r="891" spans="1:2" x14ac:dyDescent="0.2">
      <c r="A891" s="1"/>
      <c r="B891" s="2"/>
    </row>
    <row r="892" spans="1:2" x14ac:dyDescent="0.2">
      <c r="A892" s="1"/>
      <c r="B892" s="2"/>
    </row>
    <row r="893" spans="1:2" x14ac:dyDescent="0.2">
      <c r="A893" s="1"/>
      <c r="B893" s="2"/>
    </row>
    <row r="894" spans="1:2" x14ac:dyDescent="0.2">
      <c r="A894" s="1"/>
      <c r="B894" s="2"/>
    </row>
    <row r="895" spans="1:2" x14ac:dyDescent="0.2">
      <c r="A895" s="1"/>
      <c r="B895" s="2"/>
    </row>
    <row r="896" spans="1:2" x14ac:dyDescent="0.2">
      <c r="A896" s="1"/>
      <c r="B896" s="2"/>
    </row>
    <row r="897" spans="1:2" x14ac:dyDescent="0.2">
      <c r="A897" s="1"/>
      <c r="B897" s="2"/>
    </row>
    <row r="898" spans="1:2" x14ac:dyDescent="0.2">
      <c r="A898" s="1"/>
      <c r="B898" s="2"/>
    </row>
    <row r="899" spans="1:2" x14ac:dyDescent="0.2">
      <c r="A899" s="1"/>
      <c r="B899" s="2"/>
    </row>
    <row r="900" spans="1:2" x14ac:dyDescent="0.2">
      <c r="A900" s="1"/>
      <c r="B900" s="2"/>
    </row>
    <row r="901" spans="1:2" x14ac:dyDescent="0.2">
      <c r="A901" s="1"/>
      <c r="B901" s="2"/>
    </row>
    <row r="902" spans="1:2" x14ac:dyDescent="0.2">
      <c r="A902" s="1"/>
      <c r="B902" s="2"/>
    </row>
    <row r="903" spans="1:2" x14ac:dyDescent="0.2">
      <c r="A903" s="1"/>
      <c r="B903" s="2"/>
    </row>
    <row r="904" spans="1:2" x14ac:dyDescent="0.2">
      <c r="A904" s="1"/>
      <c r="B904" s="2"/>
    </row>
    <row r="905" spans="1:2" x14ac:dyDescent="0.2">
      <c r="A905" s="1"/>
      <c r="B905" s="2"/>
    </row>
    <row r="906" spans="1:2" x14ac:dyDescent="0.2">
      <c r="A906" s="1"/>
      <c r="B906" s="2"/>
    </row>
    <row r="907" spans="1:2" x14ac:dyDescent="0.2">
      <c r="A907" s="1"/>
      <c r="B907" s="2"/>
    </row>
    <row r="908" spans="1:2" x14ac:dyDescent="0.2">
      <c r="A908" s="1"/>
      <c r="B908" s="2"/>
    </row>
    <row r="909" spans="1:2" x14ac:dyDescent="0.2">
      <c r="A909" s="1"/>
      <c r="B909" s="2"/>
    </row>
    <row r="910" spans="1:2" x14ac:dyDescent="0.2">
      <c r="A910" s="1"/>
      <c r="B910" s="2"/>
    </row>
    <row r="911" spans="1:2" x14ac:dyDescent="0.2">
      <c r="A911" s="1"/>
      <c r="B911" s="2"/>
    </row>
    <row r="912" spans="1:2" x14ac:dyDescent="0.2">
      <c r="A912" s="1"/>
      <c r="B912" s="2"/>
    </row>
    <row r="913" spans="1:2" x14ac:dyDescent="0.2">
      <c r="A913" s="1"/>
      <c r="B913" s="2"/>
    </row>
    <row r="914" spans="1:2" x14ac:dyDescent="0.2">
      <c r="A914" s="1"/>
      <c r="B914" s="2"/>
    </row>
    <row r="915" spans="1:2" x14ac:dyDescent="0.2">
      <c r="A915" s="1"/>
      <c r="B915" s="2"/>
    </row>
    <row r="916" spans="1:2" x14ac:dyDescent="0.2">
      <c r="A916" s="1"/>
      <c r="B916" s="2"/>
    </row>
    <row r="917" spans="1:2" x14ac:dyDescent="0.2">
      <c r="A917" s="1"/>
      <c r="B917" s="2"/>
    </row>
    <row r="918" spans="1:2" x14ac:dyDescent="0.2">
      <c r="A918" s="1"/>
      <c r="B918" s="2"/>
    </row>
    <row r="919" spans="1:2" x14ac:dyDescent="0.2">
      <c r="A919" s="1"/>
      <c r="B919" s="2"/>
    </row>
    <row r="920" spans="1:2" x14ac:dyDescent="0.2">
      <c r="A920" s="1"/>
      <c r="B920" s="2"/>
    </row>
    <row r="921" spans="1:2" x14ac:dyDescent="0.2">
      <c r="A921" s="1"/>
      <c r="B921" s="2"/>
    </row>
    <row r="922" spans="1:2" x14ac:dyDescent="0.2">
      <c r="A922" s="1"/>
      <c r="B922" s="2"/>
    </row>
    <row r="923" spans="1:2" x14ac:dyDescent="0.2">
      <c r="A923" s="1"/>
      <c r="B923" s="2"/>
    </row>
    <row r="924" spans="1:2" x14ac:dyDescent="0.2">
      <c r="A924" s="1"/>
      <c r="B924" s="2"/>
    </row>
    <row r="925" spans="1:2" x14ac:dyDescent="0.2">
      <c r="A925" s="1"/>
      <c r="B925" s="2"/>
    </row>
    <row r="926" spans="1:2" x14ac:dyDescent="0.2">
      <c r="A926" s="1"/>
      <c r="B926" s="2"/>
    </row>
    <row r="927" spans="1:2" x14ac:dyDescent="0.2">
      <c r="A927" s="1"/>
      <c r="B927" s="2"/>
    </row>
    <row r="928" spans="1:2" x14ac:dyDescent="0.2">
      <c r="A928" s="1"/>
      <c r="B928" s="2"/>
    </row>
    <row r="929" spans="1:2" x14ac:dyDescent="0.2">
      <c r="A929" s="1"/>
      <c r="B929" s="2"/>
    </row>
    <row r="930" spans="1:2" x14ac:dyDescent="0.2">
      <c r="A930" s="1"/>
      <c r="B930" s="2"/>
    </row>
    <row r="931" spans="1:2" x14ac:dyDescent="0.2">
      <c r="A931" s="1"/>
      <c r="B931" s="2"/>
    </row>
    <row r="932" spans="1:2" x14ac:dyDescent="0.2">
      <c r="A932" s="1"/>
      <c r="B932" s="2"/>
    </row>
    <row r="933" spans="1:2" x14ac:dyDescent="0.2">
      <c r="A933" s="1"/>
      <c r="B933" s="2"/>
    </row>
    <row r="934" spans="1:2" x14ac:dyDescent="0.2">
      <c r="A934" s="1"/>
      <c r="B934" s="2"/>
    </row>
    <row r="935" spans="1:2" x14ac:dyDescent="0.2">
      <c r="A935" s="1"/>
      <c r="B935" s="2"/>
    </row>
    <row r="936" spans="1:2" x14ac:dyDescent="0.2">
      <c r="A936" s="1"/>
      <c r="B936" s="2"/>
    </row>
    <row r="937" spans="1:2" x14ac:dyDescent="0.2">
      <c r="A937" s="1"/>
      <c r="B937" s="2"/>
    </row>
    <row r="938" spans="1:2" x14ac:dyDescent="0.2">
      <c r="A938" s="1"/>
      <c r="B938" s="2"/>
    </row>
    <row r="939" spans="1:2" x14ac:dyDescent="0.2">
      <c r="A939" s="1"/>
      <c r="B939" s="2"/>
    </row>
    <row r="940" spans="1:2" x14ac:dyDescent="0.2">
      <c r="A940" s="1"/>
      <c r="B940" s="2"/>
    </row>
    <row r="941" spans="1:2" x14ac:dyDescent="0.2">
      <c r="A941" s="1"/>
      <c r="B941" s="2"/>
    </row>
    <row r="942" spans="1:2" x14ac:dyDescent="0.2">
      <c r="A942" s="1"/>
      <c r="B942" s="2"/>
    </row>
    <row r="943" spans="1:2" x14ac:dyDescent="0.2">
      <c r="A943" s="1"/>
      <c r="B943" s="2"/>
    </row>
    <row r="944" spans="1:2" x14ac:dyDescent="0.2">
      <c r="A944" s="1"/>
      <c r="B944" s="2"/>
    </row>
    <row r="945" spans="1:2" x14ac:dyDescent="0.2">
      <c r="A945" s="1"/>
      <c r="B945" s="2"/>
    </row>
    <row r="946" spans="1:2" x14ac:dyDescent="0.2">
      <c r="A946" s="1"/>
      <c r="B946" s="2"/>
    </row>
    <row r="947" spans="1:2" x14ac:dyDescent="0.2">
      <c r="A947" s="1"/>
      <c r="B947" s="2"/>
    </row>
    <row r="948" spans="1:2" x14ac:dyDescent="0.2">
      <c r="A948" s="1"/>
      <c r="B948" s="2"/>
    </row>
    <row r="949" spans="1:2" x14ac:dyDescent="0.2">
      <c r="A949" s="1"/>
      <c r="B949" s="2"/>
    </row>
    <row r="950" spans="1:2" x14ac:dyDescent="0.2">
      <c r="A950" s="1"/>
      <c r="B950" s="2"/>
    </row>
    <row r="951" spans="1:2" x14ac:dyDescent="0.2">
      <c r="A951" s="1"/>
      <c r="B951" s="2"/>
    </row>
    <row r="952" spans="1:2" x14ac:dyDescent="0.2">
      <c r="A952" s="1"/>
      <c r="B952" s="2"/>
    </row>
    <row r="953" spans="1:2" x14ac:dyDescent="0.2">
      <c r="A953" s="1"/>
      <c r="B953" s="2"/>
    </row>
    <row r="954" spans="1:2" x14ac:dyDescent="0.2">
      <c r="A954" s="1"/>
      <c r="B954" s="2"/>
    </row>
    <row r="955" spans="1:2" x14ac:dyDescent="0.2">
      <c r="A955" s="1"/>
      <c r="B955" s="2"/>
    </row>
    <row r="956" spans="1:2" x14ac:dyDescent="0.2">
      <c r="A956" s="1"/>
      <c r="B956" s="2"/>
    </row>
    <row r="957" spans="1:2" x14ac:dyDescent="0.2">
      <c r="A957" s="1"/>
      <c r="B957" s="2"/>
    </row>
    <row r="958" spans="1:2" x14ac:dyDescent="0.2">
      <c r="A958" s="1"/>
      <c r="B958" s="2"/>
    </row>
    <row r="959" spans="1:2" x14ac:dyDescent="0.2">
      <c r="A959" s="1"/>
      <c r="B959" s="2"/>
    </row>
    <row r="960" spans="1:2" x14ac:dyDescent="0.2">
      <c r="A960" s="1"/>
      <c r="B960" s="2"/>
    </row>
    <row r="961" spans="1:2" x14ac:dyDescent="0.2">
      <c r="A961" s="1"/>
      <c r="B961" s="2"/>
    </row>
    <row r="962" spans="1:2" x14ac:dyDescent="0.2">
      <c r="A962" s="1"/>
      <c r="B962" s="2"/>
    </row>
    <row r="963" spans="1:2" x14ac:dyDescent="0.2">
      <c r="A963" s="1"/>
      <c r="B963" s="2"/>
    </row>
    <row r="964" spans="1:2" x14ac:dyDescent="0.2">
      <c r="A964" s="1"/>
      <c r="B964" s="2"/>
    </row>
    <row r="965" spans="1:2" x14ac:dyDescent="0.2">
      <c r="A965" s="1"/>
      <c r="B965" s="2"/>
    </row>
    <row r="966" spans="1:2" x14ac:dyDescent="0.2">
      <c r="A966" s="1"/>
      <c r="B966" s="2"/>
    </row>
    <row r="967" spans="1:2" x14ac:dyDescent="0.2">
      <c r="A967" s="1"/>
      <c r="B967" s="2"/>
    </row>
    <row r="968" spans="1:2" x14ac:dyDescent="0.2">
      <c r="A968" s="1"/>
      <c r="B968" s="2"/>
    </row>
    <row r="969" spans="1:2" x14ac:dyDescent="0.2">
      <c r="A969" s="1"/>
      <c r="B969" s="2"/>
    </row>
    <row r="970" spans="1:2" x14ac:dyDescent="0.2">
      <c r="A970" s="1"/>
      <c r="B970" s="2"/>
    </row>
    <row r="971" spans="1:2" x14ac:dyDescent="0.2">
      <c r="A971" s="1"/>
      <c r="B971" s="2"/>
    </row>
    <row r="972" spans="1:2" x14ac:dyDescent="0.2">
      <c r="A972" s="1"/>
      <c r="B972" s="2"/>
    </row>
    <row r="973" spans="1:2" x14ac:dyDescent="0.2">
      <c r="A973" s="1"/>
      <c r="B973" s="2"/>
    </row>
    <row r="974" spans="1:2" x14ac:dyDescent="0.2">
      <c r="A974" s="1"/>
      <c r="B974" s="2"/>
    </row>
    <row r="975" spans="1:2" x14ac:dyDescent="0.2">
      <c r="A975" s="1"/>
      <c r="B975" s="2"/>
    </row>
    <row r="976" spans="1:2" x14ac:dyDescent="0.2">
      <c r="A976" s="1"/>
      <c r="B976" s="2"/>
    </row>
    <row r="977" spans="1:2" x14ac:dyDescent="0.2">
      <c r="A977" s="1"/>
      <c r="B977" s="2"/>
    </row>
    <row r="978" spans="1:2" x14ac:dyDescent="0.2">
      <c r="A978" s="1"/>
      <c r="B978" s="2"/>
    </row>
    <row r="979" spans="1:2" x14ac:dyDescent="0.2">
      <c r="A979" s="1"/>
      <c r="B979" s="2"/>
    </row>
    <row r="980" spans="1:2" x14ac:dyDescent="0.2">
      <c r="A980" s="1"/>
      <c r="B980" s="2"/>
    </row>
    <row r="981" spans="1:2" x14ac:dyDescent="0.2">
      <c r="A981" s="1"/>
      <c r="B981" s="2"/>
    </row>
    <row r="982" spans="1:2" x14ac:dyDescent="0.2">
      <c r="A982" s="1"/>
      <c r="B982" s="2"/>
    </row>
    <row r="983" spans="1:2" x14ac:dyDescent="0.2">
      <c r="A983" s="1"/>
      <c r="B983" s="2"/>
    </row>
    <row r="984" spans="1:2" x14ac:dyDescent="0.2">
      <c r="A984" s="1"/>
      <c r="B984" s="2"/>
    </row>
    <row r="985" spans="1:2" x14ac:dyDescent="0.2">
      <c r="A985" s="1"/>
      <c r="B985" s="2"/>
    </row>
    <row r="986" spans="1:2" x14ac:dyDescent="0.2">
      <c r="A986" s="1"/>
      <c r="B986" s="2"/>
    </row>
    <row r="987" spans="1:2" x14ac:dyDescent="0.2">
      <c r="A987" s="1"/>
      <c r="B987" s="2"/>
    </row>
    <row r="988" spans="1:2" x14ac:dyDescent="0.2">
      <c r="A988" s="1"/>
      <c r="B988" s="2"/>
    </row>
    <row r="989" spans="1:2" x14ac:dyDescent="0.2">
      <c r="A989" s="1"/>
      <c r="B989" s="2"/>
    </row>
    <row r="990" spans="1:2" x14ac:dyDescent="0.2">
      <c r="A990" s="1"/>
      <c r="B990" s="2"/>
    </row>
    <row r="991" spans="1:2" x14ac:dyDescent="0.2">
      <c r="A991" s="1"/>
      <c r="B991" s="2"/>
    </row>
    <row r="992" spans="1:2" x14ac:dyDescent="0.2">
      <c r="A992" s="1"/>
      <c r="B992" s="2"/>
    </row>
    <row r="993" spans="1:2" x14ac:dyDescent="0.2">
      <c r="A993" s="1"/>
      <c r="B993" s="2"/>
    </row>
    <row r="994" spans="1:2" x14ac:dyDescent="0.2">
      <c r="A994" s="1"/>
      <c r="B994" s="2"/>
    </row>
    <row r="995" spans="1:2" x14ac:dyDescent="0.2">
      <c r="A995" s="1"/>
      <c r="B995" s="2"/>
    </row>
    <row r="996" spans="1:2" x14ac:dyDescent="0.2">
      <c r="A996" s="1"/>
      <c r="B996" s="2"/>
    </row>
    <row r="997" spans="1:2" x14ac:dyDescent="0.2">
      <c r="A997" s="1"/>
      <c r="B997" s="2"/>
    </row>
    <row r="998" spans="1:2" x14ac:dyDescent="0.2">
      <c r="A998" s="1"/>
      <c r="B998" s="2"/>
    </row>
    <row r="999" spans="1:2" x14ac:dyDescent="0.2">
      <c r="A999" s="1"/>
      <c r="B999" s="2"/>
    </row>
    <row r="1000" spans="1:2" x14ac:dyDescent="0.2">
      <c r="A1000" s="1"/>
      <c r="B1000" s="2"/>
    </row>
    <row r="1001" spans="1:2" x14ac:dyDescent="0.2">
      <c r="A1001" s="1"/>
      <c r="B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803E-AD96-4800-AFEB-90AC48E17C07}">
  <dimension ref="A1:H197"/>
  <sheetViews>
    <sheetView topLeftCell="A58" workbookViewId="0">
      <selection activeCell="B8" sqref="B8"/>
    </sheetView>
  </sheetViews>
  <sheetFormatPr defaultRowHeight="12.75" x14ac:dyDescent="0.2"/>
  <cols>
    <col min="1" max="1" width="31.42578125" bestFit="1" customWidth="1"/>
    <col min="2" max="2" width="59.42578125" bestFit="1" customWidth="1"/>
    <col min="3" max="3" width="59.42578125" customWidth="1"/>
    <col min="4" max="4" width="31" bestFit="1" customWidth="1"/>
    <col min="5" max="5" width="51.7109375" bestFit="1" customWidth="1"/>
    <col min="6" max="6" width="27.28515625" bestFit="1" customWidth="1"/>
    <col min="7" max="7" width="12.42578125" bestFit="1" customWidth="1"/>
  </cols>
  <sheetData>
    <row r="1" spans="1:8" x14ac:dyDescent="0.2">
      <c r="A1" s="7" t="s">
        <v>122</v>
      </c>
      <c r="D1" s="10" t="s">
        <v>143</v>
      </c>
    </row>
    <row r="2" spans="1:8" x14ac:dyDescent="0.2">
      <c r="A2" s="7" t="s">
        <v>123</v>
      </c>
      <c r="D2" s="10" t="s">
        <v>144</v>
      </c>
      <c r="E2" s="10" t="s">
        <v>145</v>
      </c>
      <c r="F2" s="10" t="s">
        <v>146</v>
      </c>
      <c r="G2" s="10" t="s">
        <v>147</v>
      </c>
      <c r="H2" s="10" t="s">
        <v>149</v>
      </c>
    </row>
    <row r="3" spans="1:8" x14ac:dyDescent="0.2">
      <c r="A3" s="8" t="s">
        <v>124</v>
      </c>
      <c r="B3" t="s">
        <v>125</v>
      </c>
      <c r="D3" s="10" t="s">
        <v>148</v>
      </c>
      <c r="E3">
        <v>5</v>
      </c>
      <c r="F3">
        <v>5</v>
      </c>
      <c r="G3">
        <v>5</v>
      </c>
      <c r="H3">
        <v>50</v>
      </c>
    </row>
    <row r="4" spans="1:8" x14ac:dyDescent="0.2">
      <c r="A4" s="9" t="s">
        <v>126</v>
      </c>
      <c r="B4" t="s">
        <v>127</v>
      </c>
      <c r="D4" s="10" t="s">
        <v>148</v>
      </c>
      <c r="E4">
        <v>5</v>
      </c>
      <c r="F4">
        <v>5</v>
      </c>
      <c r="G4">
        <v>5</v>
      </c>
      <c r="H4">
        <v>50</v>
      </c>
    </row>
    <row r="6" spans="1:8" x14ac:dyDescent="0.2">
      <c r="A6" s="7" t="s">
        <v>128</v>
      </c>
      <c r="D6" s="10" t="s">
        <v>189</v>
      </c>
      <c r="F6" s="10" t="s">
        <v>154</v>
      </c>
      <c r="G6" s="10" t="s">
        <v>155</v>
      </c>
    </row>
    <row r="7" spans="1:8" x14ac:dyDescent="0.2">
      <c r="A7" t="s">
        <v>130</v>
      </c>
      <c r="B7" t="s">
        <v>129</v>
      </c>
      <c r="F7" s="10" t="s">
        <v>156</v>
      </c>
      <c r="G7">
        <v>1</v>
      </c>
    </row>
    <row r="8" spans="1:8" x14ac:dyDescent="0.2">
      <c r="B8" s="10" t="s">
        <v>185</v>
      </c>
      <c r="F8" s="10" t="s">
        <v>157</v>
      </c>
      <c r="G8">
        <v>1</v>
      </c>
    </row>
    <row r="9" spans="1:8" x14ac:dyDescent="0.2">
      <c r="A9" s="7" t="s">
        <v>127</v>
      </c>
      <c r="F9" s="10" t="s">
        <v>158</v>
      </c>
      <c r="G9">
        <v>1</v>
      </c>
    </row>
    <row r="10" spans="1:8" x14ac:dyDescent="0.2">
      <c r="A10" t="s">
        <v>130</v>
      </c>
      <c r="B10" s="10" t="s">
        <v>150</v>
      </c>
      <c r="C10" s="10"/>
      <c r="F10" s="10" t="s">
        <v>159</v>
      </c>
      <c r="G10">
        <v>5</v>
      </c>
    </row>
    <row r="11" spans="1:8" x14ac:dyDescent="0.2">
      <c r="B11" s="10" t="s">
        <v>186</v>
      </c>
      <c r="F11" s="10" t="s">
        <v>181</v>
      </c>
      <c r="G11">
        <v>3</v>
      </c>
    </row>
    <row r="12" spans="1:8" x14ac:dyDescent="0.2">
      <c r="F12" s="10" t="s">
        <v>182</v>
      </c>
      <c r="G12" s="10" t="s">
        <v>183</v>
      </c>
    </row>
    <row r="13" spans="1:8" x14ac:dyDescent="0.2">
      <c r="F13" s="10"/>
      <c r="G13" s="10"/>
    </row>
    <row r="14" spans="1:8" x14ac:dyDescent="0.2">
      <c r="F14" s="10"/>
      <c r="G14" s="10"/>
    </row>
    <row r="15" spans="1:8" x14ac:dyDescent="0.2">
      <c r="A15" s="7" t="s">
        <v>131</v>
      </c>
      <c r="B15" s="7" t="s">
        <v>136</v>
      </c>
      <c r="C15" s="7" t="s">
        <v>169</v>
      </c>
      <c r="D15" s="7" t="s">
        <v>137</v>
      </c>
      <c r="E15" s="7" t="s">
        <v>140</v>
      </c>
      <c r="F15">
        <v>100</v>
      </c>
    </row>
    <row r="16" spans="1:8" ht="14.25" x14ac:dyDescent="0.2">
      <c r="A16">
        <v>0</v>
      </c>
      <c r="B16" s="12" t="s">
        <v>132</v>
      </c>
      <c r="C16" s="12" t="s">
        <v>170</v>
      </c>
      <c r="D16" s="12" t="s">
        <v>138</v>
      </c>
      <c r="E16" s="12" t="s">
        <v>141</v>
      </c>
    </row>
    <row r="17" spans="1:8" ht="14.25" x14ac:dyDescent="0.2">
      <c r="B17" s="12" t="s">
        <v>133</v>
      </c>
      <c r="C17" s="12" t="s">
        <v>170</v>
      </c>
      <c r="D17" s="12" t="s">
        <v>138</v>
      </c>
      <c r="E17" s="12" t="s">
        <v>141</v>
      </c>
    </row>
    <row r="18" spans="1:8" ht="14.25" x14ac:dyDescent="0.2">
      <c r="B18" s="11" t="s">
        <v>134</v>
      </c>
      <c r="C18" s="11" t="s">
        <v>170</v>
      </c>
      <c r="D18" s="11" t="s">
        <v>138</v>
      </c>
      <c r="E18" s="11" t="s">
        <v>141</v>
      </c>
    </row>
    <row r="19" spans="1:8" ht="14.25" x14ac:dyDescent="0.2">
      <c r="B19" s="13" t="s">
        <v>135</v>
      </c>
      <c r="C19" s="13" t="s">
        <v>170</v>
      </c>
      <c r="D19" s="13" t="s">
        <v>138</v>
      </c>
      <c r="E19" s="13" t="s">
        <v>141</v>
      </c>
    </row>
    <row r="20" spans="1:8" ht="14.25" x14ac:dyDescent="0.2">
      <c r="E20" s="11" t="s">
        <v>176</v>
      </c>
    </row>
    <row r="21" spans="1:8" ht="14.25" x14ac:dyDescent="0.2">
      <c r="E21" s="13" t="s">
        <v>177</v>
      </c>
    </row>
    <row r="22" spans="1:8" ht="14.25" x14ac:dyDescent="0.2">
      <c r="E22" s="12" t="s">
        <v>191</v>
      </c>
      <c r="F22">
        <f>F15</f>
        <v>100</v>
      </c>
    </row>
    <row r="24" spans="1:8" ht="14.25" x14ac:dyDescent="0.2">
      <c r="A24">
        <v>1</v>
      </c>
      <c r="B24" s="11" t="s">
        <v>151</v>
      </c>
      <c r="C24" s="11" t="s">
        <v>170</v>
      </c>
      <c r="D24" s="11" t="s">
        <v>139</v>
      </c>
      <c r="E24" s="11" t="str">
        <f>"action goal is " &amp; A24*5 &amp;"/50"</f>
        <v>action goal is 5/50</v>
      </c>
      <c r="F24" s="14">
        <f>F22</f>
        <v>100</v>
      </c>
    </row>
    <row r="25" spans="1:8" ht="14.25" x14ac:dyDescent="0.2">
      <c r="B25" s="11" t="s">
        <v>142</v>
      </c>
      <c r="C25" s="11" t="s">
        <v>172</v>
      </c>
      <c r="D25" s="11" t="s">
        <v>160</v>
      </c>
      <c r="E25" s="11" t="str">
        <f>"Distance between both char is " &amp; F24 &amp; "m"</f>
        <v>Distance between both char is 100m</v>
      </c>
    </row>
    <row r="26" spans="1:8" ht="14.25" x14ac:dyDescent="0.2">
      <c r="B26" s="11" t="s">
        <v>167</v>
      </c>
      <c r="C26" s="11" t="s">
        <v>172</v>
      </c>
      <c r="D26" s="11" t="s">
        <v>160</v>
      </c>
      <c r="E26" s="11" t="str">
        <f>"action goal is " &amp; A24*5 &amp;"/50, P1 cannot attk"</f>
        <v>action goal is 5/50, P1 cannot attk</v>
      </c>
    </row>
    <row r="27" spans="1:8" ht="14.25" x14ac:dyDescent="0.2">
      <c r="B27" s="11" t="s">
        <v>161</v>
      </c>
      <c r="C27" s="11" t="s">
        <v>172</v>
      </c>
      <c r="D27" s="11" t="s">
        <v>160</v>
      </c>
      <c r="E27" s="11" t="str">
        <f>"Attk range 5, Distance between both char is " &amp;F24&amp;"m"</f>
        <v>Attk range 5, Distance between both char is 100m</v>
      </c>
    </row>
    <row r="28" spans="1:8" ht="14.25" x14ac:dyDescent="0.2">
      <c r="B28" s="11" t="s">
        <v>163</v>
      </c>
      <c r="C28" s="11" t="s">
        <v>171</v>
      </c>
      <c r="D28" s="11" t="s">
        <v>139</v>
      </c>
      <c r="E28" s="11" t="s">
        <v>168</v>
      </c>
      <c r="H28" s="10"/>
    </row>
    <row r="29" spans="1:8" ht="14.25" x14ac:dyDescent="0.2">
      <c r="B29" s="11" t="s">
        <v>162</v>
      </c>
      <c r="C29" s="11" t="s">
        <v>171</v>
      </c>
      <c r="D29" s="11" t="s">
        <v>139</v>
      </c>
      <c r="E29" s="11" t="s">
        <v>174</v>
      </c>
      <c r="F29">
        <v>-5</v>
      </c>
    </row>
    <row r="30" spans="1:8" ht="14.25" x14ac:dyDescent="0.2">
      <c r="B30" s="13" t="s">
        <v>152</v>
      </c>
      <c r="C30" s="13" t="s">
        <v>170</v>
      </c>
      <c r="D30" s="13" t="s">
        <v>139</v>
      </c>
      <c r="E30" s="13" t="str">
        <f>"action goal is " &amp; A24*4 &amp;"/50"</f>
        <v>action goal is 4/50</v>
      </c>
    </row>
    <row r="31" spans="1:8" ht="14.25" x14ac:dyDescent="0.2">
      <c r="B31" s="13" t="s">
        <v>153</v>
      </c>
      <c r="C31" s="13" t="s">
        <v>172</v>
      </c>
      <c r="D31" s="13" t="s">
        <v>160</v>
      </c>
      <c r="E31" s="13" t="str">
        <f>"Distance between both char is " &amp; F24 &amp; "m"</f>
        <v>Distance between both char is 100m</v>
      </c>
    </row>
    <row r="32" spans="1:8" ht="14.25" x14ac:dyDescent="0.2">
      <c r="B32" s="13" t="s">
        <v>173</v>
      </c>
      <c r="C32" s="13" t="s">
        <v>172</v>
      </c>
      <c r="D32" s="13" t="s">
        <v>160</v>
      </c>
      <c r="E32" s="13" t="str">
        <f>"action goal is " &amp; A24*4 &amp;"/50, P2 cannot attk"</f>
        <v>action goal is 4/50, P2 cannot attk</v>
      </c>
    </row>
    <row r="33" spans="1:6" ht="14.25" x14ac:dyDescent="0.2">
      <c r="B33" s="13" t="s">
        <v>164</v>
      </c>
      <c r="C33" s="13" t="s">
        <v>172</v>
      </c>
      <c r="D33" s="13" t="s">
        <v>160</v>
      </c>
      <c r="E33" s="13" t="str">
        <f>"Attk range 5, Distance between both char is " &amp;F24&amp;"m"</f>
        <v>Attk range 5, Distance between both char is 100m</v>
      </c>
    </row>
    <row r="34" spans="1:6" ht="14.25" x14ac:dyDescent="0.2">
      <c r="B34" s="13" t="s">
        <v>165</v>
      </c>
      <c r="C34" s="13" t="s">
        <v>171</v>
      </c>
      <c r="D34" s="13" t="s">
        <v>139</v>
      </c>
      <c r="E34" s="13" t="s">
        <v>180</v>
      </c>
    </row>
    <row r="35" spans="1:6" ht="14.25" x14ac:dyDescent="0.2">
      <c r="B35" s="13" t="s">
        <v>166</v>
      </c>
      <c r="C35" s="13" t="s">
        <v>171</v>
      </c>
      <c r="D35" s="13" t="s">
        <v>139</v>
      </c>
      <c r="E35" s="13" t="s">
        <v>175</v>
      </c>
      <c r="F35">
        <v>-5</v>
      </c>
    </row>
    <row r="36" spans="1:6" ht="14.25" x14ac:dyDescent="0.2">
      <c r="E36" s="11" t="s">
        <v>176</v>
      </c>
    </row>
    <row r="37" spans="1:6" ht="14.25" x14ac:dyDescent="0.2">
      <c r="E37" s="13" t="s">
        <v>177</v>
      </c>
    </row>
    <row r="38" spans="1:6" ht="14.25" x14ac:dyDescent="0.2">
      <c r="E38" s="12" t="str">
        <f xml:space="preserve"> "Distance between both char is " &amp; F24+F29+F35 &amp;"m"</f>
        <v>Distance between both char is 90m</v>
      </c>
      <c r="F38" s="10">
        <f>F24+F29+F35</f>
        <v>90</v>
      </c>
    </row>
    <row r="40" spans="1:6" ht="14.25" x14ac:dyDescent="0.2">
      <c r="A40">
        <v>2</v>
      </c>
      <c r="B40" s="11" t="s">
        <v>151</v>
      </c>
      <c r="C40" s="11" t="s">
        <v>170</v>
      </c>
      <c r="D40" s="11" t="s">
        <v>139</v>
      </c>
      <c r="E40" s="11" t="str">
        <f>"action goal is " &amp; A40*5 &amp;"/50"</f>
        <v>action goal is 10/50</v>
      </c>
      <c r="F40" s="14">
        <f>F38</f>
        <v>90</v>
      </c>
    </row>
    <row r="41" spans="1:6" ht="14.25" x14ac:dyDescent="0.2">
      <c r="B41" s="11" t="s">
        <v>142</v>
      </c>
      <c r="C41" s="11" t="s">
        <v>172</v>
      </c>
      <c r="D41" s="11" t="s">
        <v>160</v>
      </c>
      <c r="E41" s="11" t="str">
        <f>"Distance between both char is " &amp; F40 &amp; "m"</f>
        <v>Distance between both char is 90m</v>
      </c>
    </row>
    <row r="42" spans="1:6" ht="14.25" x14ac:dyDescent="0.2">
      <c r="B42" s="11" t="s">
        <v>167</v>
      </c>
      <c r="C42" s="11" t="s">
        <v>172</v>
      </c>
      <c r="D42" s="11" t="s">
        <v>160</v>
      </c>
      <c r="E42" s="11" t="str">
        <f>"action goal is " &amp; A40*5 &amp;"/50, P1 cannot attk"</f>
        <v>action goal is 10/50, P1 cannot attk</v>
      </c>
    </row>
    <row r="43" spans="1:6" ht="14.25" x14ac:dyDescent="0.2">
      <c r="B43" s="11" t="s">
        <v>161</v>
      </c>
      <c r="C43" s="11" t="s">
        <v>172</v>
      </c>
      <c r="D43" s="11" t="s">
        <v>160</v>
      </c>
      <c r="E43" s="11" t="str">
        <f>"Attk range 5, Distance between both char is " &amp;F40&amp;"m"</f>
        <v>Attk range 5, Distance between both char is 90m</v>
      </c>
    </row>
    <row r="44" spans="1:6" ht="14.25" x14ac:dyDescent="0.2">
      <c r="B44" s="11" t="s">
        <v>163</v>
      </c>
      <c r="C44" s="11" t="s">
        <v>171</v>
      </c>
      <c r="D44" s="11" t="s">
        <v>139</v>
      </c>
      <c r="E44" s="11" t="s">
        <v>168</v>
      </c>
    </row>
    <row r="45" spans="1:6" ht="14.25" x14ac:dyDescent="0.2">
      <c r="B45" s="11" t="s">
        <v>162</v>
      </c>
      <c r="C45" s="11" t="s">
        <v>171</v>
      </c>
      <c r="D45" s="11" t="s">
        <v>139</v>
      </c>
      <c r="E45" s="11" t="s">
        <v>174</v>
      </c>
      <c r="F45">
        <v>-5</v>
      </c>
    </row>
    <row r="46" spans="1:6" ht="14.25" x14ac:dyDescent="0.2">
      <c r="B46" s="13" t="s">
        <v>152</v>
      </c>
      <c r="C46" s="13" t="s">
        <v>170</v>
      </c>
      <c r="D46" s="13" t="s">
        <v>139</v>
      </c>
      <c r="E46" s="13" t="str">
        <f>"action goal is " &amp; A40*4 &amp;"/50"</f>
        <v>action goal is 8/50</v>
      </c>
    </row>
    <row r="47" spans="1:6" ht="14.25" x14ac:dyDescent="0.2">
      <c r="B47" s="13" t="s">
        <v>153</v>
      </c>
      <c r="C47" s="13" t="s">
        <v>172</v>
      </c>
      <c r="D47" s="13" t="s">
        <v>160</v>
      </c>
      <c r="E47" s="13" t="str">
        <f>"Distance between both char is " &amp; F40 &amp; "m"</f>
        <v>Distance between both char is 90m</v>
      </c>
    </row>
    <row r="48" spans="1:6" ht="14.25" x14ac:dyDescent="0.2">
      <c r="B48" s="13" t="s">
        <v>173</v>
      </c>
      <c r="C48" s="13" t="s">
        <v>172</v>
      </c>
      <c r="D48" s="13" t="s">
        <v>160</v>
      </c>
      <c r="E48" s="13" t="str">
        <f>"action goal is " &amp; A40*4 &amp;"/50, P2 cannot attk"</f>
        <v>action goal is 8/50, P2 cannot attk</v>
      </c>
    </row>
    <row r="49" spans="1:6" ht="14.25" x14ac:dyDescent="0.2">
      <c r="B49" s="13" t="s">
        <v>164</v>
      </c>
      <c r="C49" s="13" t="s">
        <v>172</v>
      </c>
      <c r="D49" s="13" t="s">
        <v>160</v>
      </c>
      <c r="E49" s="13" t="str">
        <f>"Attk range 5, Distance between both char is " &amp;F40&amp;"m"</f>
        <v>Attk range 5, Distance between both char is 90m</v>
      </c>
    </row>
    <row r="50" spans="1:6" ht="14.25" x14ac:dyDescent="0.2">
      <c r="B50" s="13" t="s">
        <v>165</v>
      </c>
      <c r="C50" s="13" t="s">
        <v>171</v>
      </c>
      <c r="D50" s="13" t="s">
        <v>139</v>
      </c>
      <c r="E50" s="13" t="s">
        <v>180</v>
      </c>
    </row>
    <row r="51" spans="1:6" ht="14.25" x14ac:dyDescent="0.2">
      <c r="B51" s="13" t="s">
        <v>166</v>
      </c>
      <c r="C51" s="13" t="s">
        <v>171</v>
      </c>
      <c r="D51" s="13" t="s">
        <v>139</v>
      </c>
      <c r="E51" s="13" t="s">
        <v>175</v>
      </c>
      <c r="F51">
        <v>-5</v>
      </c>
    </row>
    <row r="52" spans="1:6" ht="14.25" x14ac:dyDescent="0.2">
      <c r="E52" s="11" t="s">
        <v>176</v>
      </c>
    </row>
    <row r="53" spans="1:6" ht="14.25" x14ac:dyDescent="0.2">
      <c r="E53" s="13" t="s">
        <v>177</v>
      </c>
    </row>
    <row r="54" spans="1:6" ht="14.25" x14ac:dyDescent="0.2">
      <c r="E54" s="12" t="str">
        <f xml:space="preserve"> "Distance between both char is " &amp; F40+F45+F51 &amp;"m"</f>
        <v>Distance between both char is 80m</v>
      </c>
      <c r="F54" s="10">
        <f>F40+F45+F51</f>
        <v>80</v>
      </c>
    </row>
    <row r="56" spans="1:6" ht="14.25" x14ac:dyDescent="0.2">
      <c r="A56">
        <v>3</v>
      </c>
      <c r="B56" s="11" t="s">
        <v>151</v>
      </c>
      <c r="C56" s="11" t="s">
        <v>170</v>
      </c>
      <c r="D56" s="11" t="s">
        <v>139</v>
      </c>
      <c r="E56" s="11" t="str">
        <f>"action goal is " &amp; A56*5 &amp;"/50"</f>
        <v>action goal is 15/50</v>
      </c>
      <c r="F56" s="14">
        <f>F54</f>
        <v>80</v>
      </c>
    </row>
    <row r="57" spans="1:6" ht="14.25" x14ac:dyDescent="0.2">
      <c r="B57" s="11" t="s">
        <v>142</v>
      </c>
      <c r="C57" s="11" t="s">
        <v>172</v>
      </c>
      <c r="D57" s="11" t="s">
        <v>160</v>
      </c>
      <c r="E57" s="11" t="str">
        <f>"Distance between both char is " &amp; F56 &amp; "m"</f>
        <v>Distance between both char is 80m</v>
      </c>
    </row>
    <row r="58" spans="1:6" ht="14.25" x14ac:dyDescent="0.2">
      <c r="B58" s="11" t="s">
        <v>167</v>
      </c>
      <c r="C58" s="11" t="s">
        <v>172</v>
      </c>
      <c r="D58" s="11" t="s">
        <v>160</v>
      </c>
      <c r="E58" s="11" t="str">
        <f>"action goal is " &amp; A56*5 &amp;"/50, P1 cannot attk"</f>
        <v>action goal is 15/50, P1 cannot attk</v>
      </c>
    </row>
    <row r="59" spans="1:6" ht="14.25" x14ac:dyDescent="0.2">
      <c r="B59" s="11" t="s">
        <v>161</v>
      </c>
      <c r="C59" s="11" t="s">
        <v>172</v>
      </c>
      <c r="D59" s="11" t="s">
        <v>160</v>
      </c>
      <c r="E59" s="11" t="str">
        <f>"Attk range 5, Distance between both char is " &amp;F56&amp;"m"</f>
        <v>Attk range 5, Distance between both char is 80m</v>
      </c>
    </row>
    <row r="60" spans="1:6" ht="14.25" x14ac:dyDescent="0.2">
      <c r="B60" s="11" t="s">
        <v>163</v>
      </c>
      <c r="C60" s="11" t="s">
        <v>171</v>
      </c>
      <c r="D60" s="11" t="s">
        <v>139</v>
      </c>
      <c r="E60" s="11" t="s">
        <v>168</v>
      </c>
    </row>
    <row r="61" spans="1:6" ht="14.25" x14ac:dyDescent="0.2">
      <c r="B61" s="11" t="s">
        <v>162</v>
      </c>
      <c r="C61" s="11" t="s">
        <v>171</v>
      </c>
      <c r="D61" s="11" t="s">
        <v>139</v>
      </c>
      <c r="E61" s="11" t="s">
        <v>174</v>
      </c>
      <c r="F61">
        <v>-5</v>
      </c>
    </row>
    <row r="62" spans="1:6" ht="14.25" x14ac:dyDescent="0.2">
      <c r="B62" s="13" t="s">
        <v>152</v>
      </c>
      <c r="C62" s="13" t="s">
        <v>170</v>
      </c>
      <c r="D62" s="13" t="s">
        <v>139</v>
      </c>
      <c r="E62" s="13" t="str">
        <f>"action goal is " &amp; A56*4 &amp;"/50"</f>
        <v>action goal is 12/50</v>
      </c>
    </row>
    <row r="63" spans="1:6" ht="14.25" x14ac:dyDescent="0.2">
      <c r="B63" s="13" t="s">
        <v>153</v>
      </c>
      <c r="C63" s="13" t="s">
        <v>172</v>
      </c>
      <c r="D63" s="13" t="s">
        <v>160</v>
      </c>
      <c r="E63" s="13" t="str">
        <f>"Distance between both char is " &amp; F56 &amp; "m"</f>
        <v>Distance between both char is 80m</v>
      </c>
    </row>
    <row r="64" spans="1:6" ht="14.25" x14ac:dyDescent="0.2">
      <c r="B64" s="13" t="s">
        <v>173</v>
      </c>
      <c r="C64" s="13" t="s">
        <v>172</v>
      </c>
      <c r="D64" s="13" t="s">
        <v>160</v>
      </c>
      <c r="E64" s="13" t="str">
        <f>"action goal is " &amp; A56*4 &amp;"/50, P2 cannot attk"</f>
        <v>action goal is 12/50, P2 cannot attk</v>
      </c>
    </row>
    <row r="65" spans="1:6" ht="14.25" x14ac:dyDescent="0.2">
      <c r="B65" s="13" t="s">
        <v>164</v>
      </c>
      <c r="C65" s="13" t="s">
        <v>172</v>
      </c>
      <c r="D65" s="13" t="s">
        <v>160</v>
      </c>
      <c r="E65" s="13" t="str">
        <f>"Attk range 5, Distance between both char is " &amp;F56&amp;"m"</f>
        <v>Attk range 5, Distance between both char is 80m</v>
      </c>
    </row>
    <row r="66" spans="1:6" ht="14.25" x14ac:dyDescent="0.2">
      <c r="B66" s="13" t="s">
        <v>165</v>
      </c>
      <c r="C66" s="13" t="s">
        <v>171</v>
      </c>
      <c r="D66" s="13" t="s">
        <v>139</v>
      </c>
      <c r="E66" s="13" t="s">
        <v>180</v>
      </c>
    </row>
    <row r="67" spans="1:6" ht="14.25" x14ac:dyDescent="0.2">
      <c r="B67" s="13" t="s">
        <v>166</v>
      </c>
      <c r="C67" s="13" t="s">
        <v>171</v>
      </c>
      <c r="D67" s="13" t="s">
        <v>139</v>
      </c>
      <c r="E67" s="13" t="s">
        <v>175</v>
      </c>
      <c r="F67">
        <v>-5</v>
      </c>
    </row>
    <row r="68" spans="1:6" ht="14.25" x14ac:dyDescent="0.2">
      <c r="E68" s="11" t="s">
        <v>176</v>
      </c>
    </row>
    <row r="69" spans="1:6" ht="14.25" x14ac:dyDescent="0.2">
      <c r="E69" s="13" t="s">
        <v>177</v>
      </c>
    </row>
    <row r="70" spans="1:6" ht="14.25" x14ac:dyDescent="0.2">
      <c r="E70" s="12" t="str">
        <f xml:space="preserve"> "Distance between both char is " &amp; F56+F61+F67 &amp;"m"</f>
        <v>Distance between both char is 70m</v>
      </c>
      <c r="F70" s="10">
        <f>F56+F61+F67</f>
        <v>70</v>
      </c>
    </row>
    <row r="72" spans="1:6" ht="14.25" x14ac:dyDescent="0.2">
      <c r="A72">
        <v>4</v>
      </c>
      <c r="B72" s="11" t="s">
        <v>151</v>
      </c>
      <c r="C72" s="11" t="s">
        <v>170</v>
      </c>
      <c r="D72" s="11" t="s">
        <v>139</v>
      </c>
      <c r="E72" s="11" t="str">
        <f>"action goal is " &amp; A72*5 &amp;"/50"</f>
        <v>action goal is 20/50</v>
      </c>
      <c r="F72" s="14">
        <f>F70</f>
        <v>70</v>
      </c>
    </row>
    <row r="73" spans="1:6" ht="14.25" x14ac:dyDescent="0.2">
      <c r="B73" s="11" t="s">
        <v>142</v>
      </c>
      <c r="C73" s="11" t="s">
        <v>172</v>
      </c>
      <c r="D73" s="11" t="s">
        <v>160</v>
      </c>
      <c r="E73" s="11" t="str">
        <f>"Distance between both char is " &amp; F72 &amp; "m"</f>
        <v>Distance between both char is 70m</v>
      </c>
    </row>
    <row r="74" spans="1:6" ht="14.25" x14ac:dyDescent="0.2">
      <c r="B74" s="11" t="s">
        <v>167</v>
      </c>
      <c r="C74" s="11" t="s">
        <v>172</v>
      </c>
      <c r="D74" s="11" t="s">
        <v>160</v>
      </c>
      <c r="E74" s="11" t="str">
        <f>"action goal is " &amp; A72*5 &amp;"/50, P1 cannot attk"</f>
        <v>action goal is 20/50, P1 cannot attk</v>
      </c>
    </row>
    <row r="75" spans="1:6" ht="14.25" x14ac:dyDescent="0.2">
      <c r="B75" s="11" t="s">
        <v>161</v>
      </c>
      <c r="C75" s="11" t="s">
        <v>172</v>
      </c>
      <c r="D75" s="11" t="s">
        <v>160</v>
      </c>
      <c r="E75" s="11" t="str">
        <f>"Attk range 5, Distance between both char is " &amp;F72&amp;"m"</f>
        <v>Attk range 5, Distance between both char is 70m</v>
      </c>
    </row>
    <row r="76" spans="1:6" ht="14.25" x14ac:dyDescent="0.2">
      <c r="B76" s="11" t="s">
        <v>163</v>
      </c>
      <c r="C76" s="11" t="s">
        <v>171</v>
      </c>
      <c r="D76" s="11" t="s">
        <v>139</v>
      </c>
      <c r="E76" s="11" t="s">
        <v>168</v>
      </c>
    </row>
    <row r="77" spans="1:6" ht="14.25" x14ac:dyDescent="0.2">
      <c r="B77" s="11" t="s">
        <v>162</v>
      </c>
      <c r="C77" s="11" t="s">
        <v>171</v>
      </c>
      <c r="D77" s="11" t="s">
        <v>139</v>
      </c>
      <c r="E77" s="11" t="s">
        <v>174</v>
      </c>
      <c r="F77">
        <v>-5</v>
      </c>
    </row>
    <row r="78" spans="1:6" ht="14.25" x14ac:dyDescent="0.2">
      <c r="B78" s="13" t="s">
        <v>152</v>
      </c>
      <c r="C78" s="13" t="s">
        <v>170</v>
      </c>
      <c r="D78" s="13" t="s">
        <v>139</v>
      </c>
      <c r="E78" s="13" t="str">
        <f>"action goal is " &amp; A72*4 &amp;"/50"</f>
        <v>action goal is 16/50</v>
      </c>
    </row>
    <row r="79" spans="1:6" ht="14.25" x14ac:dyDescent="0.2">
      <c r="B79" s="13" t="s">
        <v>153</v>
      </c>
      <c r="C79" s="13" t="s">
        <v>172</v>
      </c>
      <c r="D79" s="13" t="s">
        <v>160</v>
      </c>
      <c r="E79" s="13" t="str">
        <f>"Distance between both char is " &amp; F72 &amp; "m"</f>
        <v>Distance between both char is 70m</v>
      </c>
    </row>
    <row r="80" spans="1:6" ht="14.25" x14ac:dyDescent="0.2">
      <c r="B80" s="13" t="s">
        <v>173</v>
      </c>
      <c r="C80" s="13" t="s">
        <v>172</v>
      </c>
      <c r="D80" s="13" t="s">
        <v>160</v>
      </c>
      <c r="E80" s="13" t="str">
        <f>"action goal is " &amp; A72*4 &amp;"/50, P2 cannot attk"</f>
        <v>action goal is 16/50, P2 cannot attk</v>
      </c>
    </row>
    <row r="81" spans="1:6" ht="14.25" x14ac:dyDescent="0.2">
      <c r="B81" s="13" t="s">
        <v>164</v>
      </c>
      <c r="C81" s="13" t="s">
        <v>172</v>
      </c>
      <c r="D81" s="13" t="s">
        <v>160</v>
      </c>
      <c r="E81" s="13" t="str">
        <f>"Attk range 5, Distance between both char is " &amp;F72&amp;"m"</f>
        <v>Attk range 5, Distance between both char is 70m</v>
      </c>
    </row>
    <row r="82" spans="1:6" ht="14.25" x14ac:dyDescent="0.2">
      <c r="B82" s="13" t="s">
        <v>165</v>
      </c>
      <c r="C82" s="13" t="s">
        <v>171</v>
      </c>
      <c r="D82" s="13" t="s">
        <v>139</v>
      </c>
      <c r="E82" s="13" t="s">
        <v>180</v>
      </c>
    </row>
    <row r="83" spans="1:6" ht="14.25" x14ac:dyDescent="0.2">
      <c r="B83" s="13" t="s">
        <v>166</v>
      </c>
      <c r="C83" s="13" t="s">
        <v>171</v>
      </c>
      <c r="D83" s="13" t="s">
        <v>139</v>
      </c>
      <c r="E83" s="13" t="s">
        <v>175</v>
      </c>
      <c r="F83">
        <v>-5</v>
      </c>
    </row>
    <row r="84" spans="1:6" ht="14.25" x14ac:dyDescent="0.2">
      <c r="E84" s="11" t="s">
        <v>176</v>
      </c>
    </row>
    <row r="85" spans="1:6" ht="14.25" x14ac:dyDescent="0.2">
      <c r="E85" s="13" t="s">
        <v>177</v>
      </c>
    </row>
    <row r="86" spans="1:6" ht="14.25" x14ac:dyDescent="0.2">
      <c r="E86" s="12" t="str">
        <f xml:space="preserve"> "Distance between both char is " &amp; F72+F77+F83 &amp;"m"</f>
        <v>Distance between both char is 60m</v>
      </c>
      <c r="F86" s="10">
        <f>F72+F77+F83</f>
        <v>60</v>
      </c>
    </row>
    <row r="88" spans="1:6" ht="14.25" x14ac:dyDescent="0.2">
      <c r="A88">
        <v>5</v>
      </c>
      <c r="B88" s="11" t="s">
        <v>151</v>
      </c>
      <c r="C88" s="11" t="s">
        <v>170</v>
      </c>
      <c r="D88" s="11" t="s">
        <v>139</v>
      </c>
      <c r="E88" s="11" t="str">
        <f>"action goal is " &amp; A88*5 &amp;"/50"</f>
        <v>action goal is 25/50</v>
      </c>
      <c r="F88" s="14">
        <f>F86</f>
        <v>60</v>
      </c>
    </row>
    <row r="89" spans="1:6" ht="14.25" x14ac:dyDescent="0.2">
      <c r="B89" s="11" t="s">
        <v>142</v>
      </c>
      <c r="C89" s="11" t="s">
        <v>172</v>
      </c>
      <c r="D89" s="11" t="s">
        <v>160</v>
      </c>
      <c r="E89" s="11" t="str">
        <f>"Distance between both char is " &amp; F88 &amp; "m"</f>
        <v>Distance between both char is 60m</v>
      </c>
    </row>
    <row r="90" spans="1:6" ht="14.25" x14ac:dyDescent="0.2">
      <c r="B90" s="11" t="s">
        <v>167</v>
      </c>
      <c r="C90" s="11" t="s">
        <v>172</v>
      </c>
      <c r="D90" s="11" t="s">
        <v>160</v>
      </c>
      <c r="E90" s="11" t="str">
        <f>"action goal is " &amp; A88*5 &amp;"/50, P1 cannot attk"</f>
        <v>action goal is 25/50, P1 cannot attk</v>
      </c>
    </row>
    <row r="91" spans="1:6" ht="14.25" x14ac:dyDescent="0.2">
      <c r="B91" s="11" t="s">
        <v>161</v>
      </c>
      <c r="C91" s="11" t="s">
        <v>172</v>
      </c>
      <c r="D91" s="11" t="s">
        <v>160</v>
      </c>
      <c r="E91" s="11" t="str">
        <f>"Attk range 5, Distance between both char is " &amp;F88&amp;"m"</f>
        <v>Attk range 5, Distance between both char is 60m</v>
      </c>
    </row>
    <row r="92" spans="1:6" ht="14.25" x14ac:dyDescent="0.2">
      <c r="B92" s="11" t="s">
        <v>163</v>
      </c>
      <c r="C92" s="11" t="s">
        <v>171</v>
      </c>
      <c r="D92" s="11" t="s">
        <v>139</v>
      </c>
      <c r="E92" s="11" t="s">
        <v>168</v>
      </c>
    </row>
    <row r="93" spans="1:6" ht="14.25" x14ac:dyDescent="0.2">
      <c r="B93" s="11" t="s">
        <v>162</v>
      </c>
      <c r="C93" s="11" t="s">
        <v>171</v>
      </c>
      <c r="D93" s="11" t="s">
        <v>139</v>
      </c>
      <c r="E93" s="11" t="s">
        <v>174</v>
      </c>
      <c r="F93">
        <v>-5</v>
      </c>
    </row>
    <row r="94" spans="1:6" ht="14.25" x14ac:dyDescent="0.2">
      <c r="B94" s="13" t="s">
        <v>152</v>
      </c>
      <c r="C94" s="13" t="s">
        <v>170</v>
      </c>
      <c r="D94" s="13" t="s">
        <v>139</v>
      </c>
      <c r="E94" s="13" t="str">
        <f>"action goal is " &amp; A88*4 &amp;"/50"</f>
        <v>action goal is 20/50</v>
      </c>
    </row>
    <row r="95" spans="1:6" ht="14.25" x14ac:dyDescent="0.2">
      <c r="B95" s="13" t="s">
        <v>153</v>
      </c>
      <c r="C95" s="13" t="s">
        <v>172</v>
      </c>
      <c r="D95" s="13" t="s">
        <v>160</v>
      </c>
      <c r="E95" s="13" t="str">
        <f>"Distance between both char is " &amp; F88 &amp; "m"</f>
        <v>Distance between both char is 60m</v>
      </c>
    </row>
    <row r="96" spans="1:6" ht="14.25" x14ac:dyDescent="0.2">
      <c r="B96" s="13" t="s">
        <v>173</v>
      </c>
      <c r="C96" s="13" t="s">
        <v>172</v>
      </c>
      <c r="D96" s="13" t="s">
        <v>160</v>
      </c>
      <c r="E96" s="13" t="str">
        <f>"action goal is " &amp; A88*4 &amp;"/50, P2 cannot attk"</f>
        <v>action goal is 20/50, P2 cannot attk</v>
      </c>
    </row>
    <row r="97" spans="1:6" ht="14.25" x14ac:dyDescent="0.2">
      <c r="B97" s="13" t="s">
        <v>164</v>
      </c>
      <c r="C97" s="13" t="s">
        <v>172</v>
      </c>
      <c r="D97" s="13" t="s">
        <v>160</v>
      </c>
      <c r="E97" s="13" t="str">
        <f>"Attk range 5, Distance between both char is " &amp;F88&amp;"m"</f>
        <v>Attk range 5, Distance between both char is 60m</v>
      </c>
    </row>
    <row r="98" spans="1:6" ht="14.25" x14ac:dyDescent="0.2">
      <c r="B98" s="13" t="s">
        <v>165</v>
      </c>
      <c r="C98" s="13" t="s">
        <v>171</v>
      </c>
      <c r="D98" s="13" t="s">
        <v>139</v>
      </c>
      <c r="E98" s="13" t="s">
        <v>180</v>
      </c>
    </row>
    <row r="99" spans="1:6" ht="14.25" x14ac:dyDescent="0.2">
      <c r="B99" s="13" t="s">
        <v>166</v>
      </c>
      <c r="C99" s="13" t="s">
        <v>171</v>
      </c>
      <c r="D99" s="13" t="s">
        <v>139</v>
      </c>
      <c r="E99" s="13" t="s">
        <v>175</v>
      </c>
      <c r="F99">
        <v>-5</v>
      </c>
    </row>
    <row r="100" spans="1:6" ht="14.25" x14ac:dyDescent="0.2">
      <c r="E100" s="11" t="s">
        <v>176</v>
      </c>
    </row>
    <row r="101" spans="1:6" ht="14.25" x14ac:dyDescent="0.2">
      <c r="E101" s="13" t="s">
        <v>177</v>
      </c>
    </row>
    <row r="102" spans="1:6" ht="14.25" x14ac:dyDescent="0.2">
      <c r="E102" s="12" t="str">
        <f xml:space="preserve"> "Distance between both char is " &amp; F88+F93+F99 &amp;"m"</f>
        <v>Distance between both char is 50m</v>
      </c>
      <c r="F102" s="10">
        <f>F88+F93+F99</f>
        <v>50</v>
      </c>
    </row>
    <row r="104" spans="1:6" ht="14.25" x14ac:dyDescent="0.2">
      <c r="A104">
        <v>6</v>
      </c>
      <c r="B104" s="11" t="s">
        <v>151</v>
      </c>
      <c r="C104" s="11" t="s">
        <v>170</v>
      </c>
      <c r="D104" s="11" t="s">
        <v>139</v>
      </c>
      <c r="E104" s="11" t="str">
        <f>"action goal is " &amp; A104*5 &amp;"/50"</f>
        <v>action goal is 30/50</v>
      </c>
      <c r="F104" s="14">
        <f>F102</f>
        <v>50</v>
      </c>
    </row>
    <row r="105" spans="1:6" ht="14.25" x14ac:dyDescent="0.2">
      <c r="B105" s="11" t="s">
        <v>142</v>
      </c>
      <c r="C105" s="11" t="s">
        <v>172</v>
      </c>
      <c r="D105" s="11" t="s">
        <v>160</v>
      </c>
      <c r="E105" s="11" t="str">
        <f>"Distance between both char is " &amp; F104 &amp; "m"</f>
        <v>Distance between both char is 50m</v>
      </c>
    </row>
    <row r="106" spans="1:6" ht="14.25" x14ac:dyDescent="0.2">
      <c r="B106" s="11" t="s">
        <v>167</v>
      </c>
      <c r="C106" s="11" t="s">
        <v>172</v>
      </c>
      <c r="D106" s="11" t="s">
        <v>160</v>
      </c>
      <c r="E106" s="11" t="str">
        <f>"action goal is " &amp; A104*5 &amp;"/50, P1 cannot attk"</f>
        <v>action goal is 30/50, P1 cannot attk</v>
      </c>
    </row>
    <row r="107" spans="1:6" ht="14.25" x14ac:dyDescent="0.2">
      <c r="B107" s="11" t="s">
        <v>161</v>
      </c>
      <c r="C107" s="11" t="s">
        <v>172</v>
      </c>
      <c r="D107" s="11" t="s">
        <v>160</v>
      </c>
      <c r="E107" s="11" t="str">
        <f>"Attk range 5, Distance between both char is " &amp;F104&amp;"m"</f>
        <v>Attk range 5, Distance between both char is 50m</v>
      </c>
    </row>
    <row r="108" spans="1:6" ht="14.25" x14ac:dyDescent="0.2">
      <c r="B108" s="11" t="s">
        <v>163</v>
      </c>
      <c r="C108" s="11" t="s">
        <v>171</v>
      </c>
      <c r="D108" s="11" t="s">
        <v>139</v>
      </c>
      <c r="E108" s="11" t="s">
        <v>168</v>
      </c>
    </row>
    <row r="109" spans="1:6" ht="14.25" x14ac:dyDescent="0.2">
      <c r="B109" s="11" t="s">
        <v>162</v>
      </c>
      <c r="C109" s="11" t="s">
        <v>171</v>
      </c>
      <c r="D109" s="11" t="s">
        <v>139</v>
      </c>
      <c r="E109" s="11" t="s">
        <v>174</v>
      </c>
      <c r="F109">
        <v>-5</v>
      </c>
    </row>
    <row r="110" spans="1:6" ht="14.25" x14ac:dyDescent="0.2">
      <c r="B110" s="13" t="s">
        <v>152</v>
      </c>
      <c r="C110" s="13" t="s">
        <v>170</v>
      </c>
      <c r="D110" s="13" t="s">
        <v>139</v>
      </c>
      <c r="E110" s="13" t="str">
        <f>"action goal is " &amp; A104*4 &amp;"/50"</f>
        <v>action goal is 24/50</v>
      </c>
    </row>
    <row r="111" spans="1:6" ht="14.25" x14ac:dyDescent="0.2">
      <c r="B111" s="13" t="s">
        <v>153</v>
      </c>
      <c r="C111" s="13" t="s">
        <v>172</v>
      </c>
      <c r="D111" s="13" t="s">
        <v>160</v>
      </c>
      <c r="E111" s="13" t="str">
        <f>"Distance between both char is " &amp; F104 &amp; "m"</f>
        <v>Distance between both char is 50m</v>
      </c>
    </row>
    <row r="112" spans="1:6" ht="14.25" x14ac:dyDescent="0.2">
      <c r="B112" s="13" t="s">
        <v>173</v>
      </c>
      <c r="C112" s="13" t="s">
        <v>172</v>
      </c>
      <c r="D112" s="13" t="s">
        <v>160</v>
      </c>
      <c r="E112" s="13" t="str">
        <f>"action goal is " &amp; A104*4 &amp;"/50, P2 cannot attk"</f>
        <v>action goal is 24/50, P2 cannot attk</v>
      </c>
    </row>
    <row r="113" spans="1:6" ht="14.25" x14ac:dyDescent="0.2">
      <c r="B113" s="13" t="s">
        <v>164</v>
      </c>
      <c r="C113" s="13" t="s">
        <v>172</v>
      </c>
      <c r="D113" s="13" t="s">
        <v>160</v>
      </c>
      <c r="E113" s="13" t="str">
        <f>"Attk range 5, Distance between both char is " &amp;F104&amp;"m"</f>
        <v>Attk range 5, Distance between both char is 50m</v>
      </c>
    </row>
    <row r="114" spans="1:6" ht="14.25" x14ac:dyDescent="0.2">
      <c r="B114" s="13" t="s">
        <v>165</v>
      </c>
      <c r="C114" s="13" t="s">
        <v>171</v>
      </c>
      <c r="D114" s="13" t="s">
        <v>139</v>
      </c>
      <c r="E114" s="13" t="s">
        <v>180</v>
      </c>
    </row>
    <row r="115" spans="1:6" ht="14.25" x14ac:dyDescent="0.2">
      <c r="B115" s="13" t="s">
        <v>166</v>
      </c>
      <c r="C115" s="13" t="s">
        <v>171</v>
      </c>
      <c r="D115" s="13" t="s">
        <v>139</v>
      </c>
      <c r="E115" s="13" t="s">
        <v>175</v>
      </c>
      <c r="F115">
        <v>-5</v>
      </c>
    </row>
    <row r="116" spans="1:6" ht="14.25" x14ac:dyDescent="0.2">
      <c r="E116" s="11" t="s">
        <v>176</v>
      </c>
    </row>
    <row r="117" spans="1:6" ht="14.25" x14ac:dyDescent="0.2">
      <c r="E117" s="13" t="s">
        <v>177</v>
      </c>
    </row>
    <row r="118" spans="1:6" ht="14.25" x14ac:dyDescent="0.2">
      <c r="E118" s="12" t="str">
        <f xml:space="preserve"> "Distance between both char is " &amp; F104+F109+F115 &amp;"m"</f>
        <v>Distance between both char is 40m</v>
      </c>
      <c r="F118" s="10">
        <f>F104+F109+F115</f>
        <v>40</v>
      </c>
    </row>
    <row r="120" spans="1:6" ht="14.25" x14ac:dyDescent="0.2">
      <c r="A120">
        <v>7</v>
      </c>
      <c r="B120" s="11" t="s">
        <v>151</v>
      </c>
      <c r="C120" s="11" t="s">
        <v>170</v>
      </c>
      <c r="D120" s="11" t="s">
        <v>139</v>
      </c>
      <c r="E120" s="11" t="str">
        <f>"action goal is " &amp; A120*5 &amp;"/50"</f>
        <v>action goal is 35/50</v>
      </c>
      <c r="F120" s="14">
        <f>F118</f>
        <v>40</v>
      </c>
    </row>
    <row r="121" spans="1:6" ht="14.25" x14ac:dyDescent="0.2">
      <c r="B121" s="11" t="s">
        <v>142</v>
      </c>
      <c r="C121" s="11" t="s">
        <v>172</v>
      </c>
      <c r="D121" s="11" t="s">
        <v>160</v>
      </c>
      <c r="E121" s="11" t="str">
        <f>"Distance between both char is " &amp; F120 &amp; "m"</f>
        <v>Distance between both char is 40m</v>
      </c>
    </row>
    <row r="122" spans="1:6" ht="14.25" x14ac:dyDescent="0.2">
      <c r="B122" s="11" t="s">
        <v>167</v>
      </c>
      <c r="C122" s="11" t="s">
        <v>172</v>
      </c>
      <c r="D122" s="11" t="s">
        <v>160</v>
      </c>
      <c r="E122" s="11" t="str">
        <f>"action goal is " &amp; A120*5 &amp;"/50, P1 cannot attk"</f>
        <v>action goal is 35/50, P1 cannot attk</v>
      </c>
    </row>
    <row r="123" spans="1:6" ht="14.25" x14ac:dyDescent="0.2">
      <c r="B123" s="11" t="s">
        <v>161</v>
      </c>
      <c r="C123" s="11" t="s">
        <v>172</v>
      </c>
      <c r="D123" s="11" t="s">
        <v>160</v>
      </c>
      <c r="E123" s="11" t="str">
        <f>"Attk range 5, Distance between both char is " &amp;F120&amp;"m"</f>
        <v>Attk range 5, Distance between both char is 40m</v>
      </c>
    </row>
    <row r="124" spans="1:6" ht="14.25" x14ac:dyDescent="0.2">
      <c r="B124" s="11" t="s">
        <v>163</v>
      </c>
      <c r="C124" s="11" t="s">
        <v>171</v>
      </c>
      <c r="D124" s="11" t="s">
        <v>139</v>
      </c>
      <c r="E124" s="11" t="s">
        <v>168</v>
      </c>
    </row>
    <row r="125" spans="1:6" ht="14.25" x14ac:dyDescent="0.2">
      <c r="B125" s="11" t="s">
        <v>162</v>
      </c>
      <c r="C125" s="11" t="s">
        <v>171</v>
      </c>
      <c r="D125" s="11" t="s">
        <v>139</v>
      </c>
      <c r="E125" s="11" t="s">
        <v>174</v>
      </c>
      <c r="F125">
        <v>-5</v>
      </c>
    </row>
    <row r="126" spans="1:6" ht="14.25" x14ac:dyDescent="0.2">
      <c r="B126" s="13" t="s">
        <v>152</v>
      </c>
      <c r="C126" s="13" t="s">
        <v>170</v>
      </c>
      <c r="D126" s="13" t="s">
        <v>139</v>
      </c>
      <c r="E126" s="13" t="str">
        <f>"action goal is " &amp; A120*4 &amp;"/50"</f>
        <v>action goal is 28/50</v>
      </c>
    </row>
    <row r="127" spans="1:6" ht="14.25" x14ac:dyDescent="0.2">
      <c r="B127" s="13" t="s">
        <v>153</v>
      </c>
      <c r="C127" s="13" t="s">
        <v>172</v>
      </c>
      <c r="D127" s="13" t="s">
        <v>160</v>
      </c>
      <c r="E127" s="13" t="str">
        <f>"Distance between both char is " &amp; F120 &amp; "m"</f>
        <v>Distance between both char is 40m</v>
      </c>
    </row>
    <row r="128" spans="1:6" ht="14.25" x14ac:dyDescent="0.2">
      <c r="B128" s="13" t="s">
        <v>173</v>
      </c>
      <c r="C128" s="13" t="s">
        <v>172</v>
      </c>
      <c r="D128" s="13" t="s">
        <v>160</v>
      </c>
      <c r="E128" s="13" t="str">
        <f>"action goal is " &amp; A120*4 &amp;"/50, P2 cannot attk"</f>
        <v>action goal is 28/50, P2 cannot attk</v>
      </c>
    </row>
    <row r="129" spans="1:6" ht="14.25" x14ac:dyDescent="0.2">
      <c r="B129" s="13" t="s">
        <v>164</v>
      </c>
      <c r="C129" s="13" t="s">
        <v>172</v>
      </c>
      <c r="D129" s="13" t="s">
        <v>160</v>
      </c>
      <c r="E129" s="13" t="str">
        <f>"Attk range 5, Distance between both char is " &amp;F120&amp;"m"</f>
        <v>Attk range 5, Distance between both char is 40m</v>
      </c>
    </row>
    <row r="130" spans="1:6" ht="14.25" x14ac:dyDescent="0.2">
      <c r="B130" s="13" t="s">
        <v>165</v>
      </c>
      <c r="C130" s="13" t="s">
        <v>171</v>
      </c>
      <c r="D130" s="13" t="s">
        <v>139</v>
      </c>
      <c r="E130" s="13" t="s">
        <v>180</v>
      </c>
    </row>
    <row r="131" spans="1:6" ht="14.25" x14ac:dyDescent="0.2">
      <c r="B131" s="13" t="s">
        <v>166</v>
      </c>
      <c r="C131" s="13" t="s">
        <v>171</v>
      </c>
      <c r="D131" s="13" t="s">
        <v>139</v>
      </c>
      <c r="E131" s="13" t="s">
        <v>175</v>
      </c>
      <c r="F131">
        <v>-5</v>
      </c>
    </row>
    <row r="132" spans="1:6" ht="14.25" x14ac:dyDescent="0.2">
      <c r="E132" s="11" t="s">
        <v>176</v>
      </c>
    </row>
    <row r="133" spans="1:6" ht="14.25" x14ac:dyDescent="0.2">
      <c r="E133" s="13" t="s">
        <v>177</v>
      </c>
    </row>
    <row r="134" spans="1:6" ht="14.25" x14ac:dyDescent="0.2">
      <c r="E134" s="12" t="str">
        <f xml:space="preserve"> "Distance between both char is " &amp; F120+F125+F131 &amp;"m"</f>
        <v>Distance between both char is 30m</v>
      </c>
      <c r="F134" s="10">
        <f>F120+F125+F131</f>
        <v>30</v>
      </c>
    </row>
    <row r="136" spans="1:6" ht="14.25" x14ac:dyDescent="0.2">
      <c r="A136">
        <v>8</v>
      </c>
      <c r="B136" s="11" t="s">
        <v>151</v>
      </c>
      <c r="C136" s="11" t="s">
        <v>170</v>
      </c>
      <c r="D136" s="11" t="s">
        <v>139</v>
      </c>
      <c r="E136" s="11" t="str">
        <f>"action goal is " &amp; A136*5 &amp;"/50"</f>
        <v>action goal is 40/50</v>
      </c>
      <c r="F136" s="14">
        <f>F134</f>
        <v>30</v>
      </c>
    </row>
    <row r="137" spans="1:6" ht="14.25" x14ac:dyDescent="0.2">
      <c r="B137" s="11" t="s">
        <v>142</v>
      </c>
      <c r="C137" s="11" t="s">
        <v>172</v>
      </c>
      <c r="D137" s="11" t="s">
        <v>160</v>
      </c>
      <c r="E137" s="11" t="str">
        <f>"Distance between both char is " &amp; F136 &amp; "m"</f>
        <v>Distance between both char is 30m</v>
      </c>
    </row>
    <row r="138" spans="1:6" ht="14.25" x14ac:dyDescent="0.2">
      <c r="B138" s="11" t="s">
        <v>167</v>
      </c>
      <c r="C138" s="11" t="s">
        <v>172</v>
      </c>
      <c r="D138" s="11" t="s">
        <v>160</v>
      </c>
      <c r="E138" s="11" t="str">
        <f>"action goal is " &amp; A136*5 &amp;"/50, P1 cannot attk"</f>
        <v>action goal is 40/50, P1 cannot attk</v>
      </c>
    </row>
    <row r="139" spans="1:6" ht="14.25" x14ac:dyDescent="0.2">
      <c r="B139" s="11" t="s">
        <v>161</v>
      </c>
      <c r="C139" s="11" t="s">
        <v>172</v>
      </c>
      <c r="D139" s="11" t="s">
        <v>160</v>
      </c>
      <c r="E139" s="11" t="str">
        <f>"Attk range 5, Distance between both char is " &amp;F136&amp;"m"</f>
        <v>Attk range 5, Distance between both char is 30m</v>
      </c>
    </row>
    <row r="140" spans="1:6" ht="14.25" x14ac:dyDescent="0.2">
      <c r="B140" s="11" t="s">
        <v>163</v>
      </c>
      <c r="C140" s="11" t="s">
        <v>171</v>
      </c>
      <c r="D140" s="11" t="s">
        <v>139</v>
      </c>
      <c r="E140" s="11" t="s">
        <v>168</v>
      </c>
    </row>
    <row r="141" spans="1:6" ht="14.25" x14ac:dyDescent="0.2">
      <c r="B141" s="11" t="s">
        <v>162</v>
      </c>
      <c r="C141" s="11" t="s">
        <v>171</v>
      </c>
      <c r="D141" s="11" t="s">
        <v>139</v>
      </c>
      <c r="E141" s="11" t="s">
        <v>174</v>
      </c>
      <c r="F141">
        <v>-5</v>
      </c>
    </row>
    <row r="142" spans="1:6" ht="14.25" x14ac:dyDescent="0.2">
      <c r="B142" s="13" t="s">
        <v>152</v>
      </c>
      <c r="C142" s="13" t="s">
        <v>170</v>
      </c>
      <c r="D142" s="13" t="s">
        <v>139</v>
      </c>
      <c r="E142" s="13" t="str">
        <f>"action goal is " &amp; A136*4 &amp;"/50"</f>
        <v>action goal is 32/50</v>
      </c>
    </row>
    <row r="143" spans="1:6" ht="14.25" x14ac:dyDescent="0.2">
      <c r="B143" s="13" t="s">
        <v>153</v>
      </c>
      <c r="C143" s="13" t="s">
        <v>172</v>
      </c>
      <c r="D143" s="13" t="s">
        <v>160</v>
      </c>
      <c r="E143" s="13" t="str">
        <f>"Distance between both char is " &amp; F136 &amp; "m"</f>
        <v>Distance between both char is 30m</v>
      </c>
    </row>
    <row r="144" spans="1:6" ht="14.25" x14ac:dyDescent="0.2">
      <c r="B144" s="13" t="s">
        <v>173</v>
      </c>
      <c r="C144" s="13" t="s">
        <v>172</v>
      </c>
      <c r="D144" s="13" t="s">
        <v>160</v>
      </c>
      <c r="E144" s="13" t="str">
        <f>"action goal is " &amp; A136*4 &amp;"/50, P2 cannot attk"</f>
        <v>action goal is 32/50, P2 cannot attk</v>
      </c>
    </row>
    <row r="145" spans="1:6" ht="14.25" x14ac:dyDescent="0.2">
      <c r="B145" s="13" t="s">
        <v>164</v>
      </c>
      <c r="C145" s="13" t="s">
        <v>172</v>
      </c>
      <c r="D145" s="13" t="s">
        <v>160</v>
      </c>
      <c r="E145" s="13" t="str">
        <f>"Attk range 5, Distance between both char is " &amp;F136&amp;"m"</f>
        <v>Attk range 5, Distance between both char is 30m</v>
      </c>
    </row>
    <row r="146" spans="1:6" ht="14.25" x14ac:dyDescent="0.2">
      <c r="B146" s="13" t="s">
        <v>165</v>
      </c>
      <c r="C146" s="13" t="s">
        <v>171</v>
      </c>
      <c r="D146" s="13" t="s">
        <v>139</v>
      </c>
      <c r="E146" s="13" t="s">
        <v>180</v>
      </c>
    </row>
    <row r="147" spans="1:6" ht="14.25" x14ac:dyDescent="0.2">
      <c r="B147" s="13" t="s">
        <v>166</v>
      </c>
      <c r="C147" s="13" t="s">
        <v>171</v>
      </c>
      <c r="D147" s="13" t="s">
        <v>139</v>
      </c>
      <c r="E147" s="13" t="s">
        <v>175</v>
      </c>
      <c r="F147">
        <v>-5</v>
      </c>
    </row>
    <row r="148" spans="1:6" ht="14.25" x14ac:dyDescent="0.2">
      <c r="E148" s="11" t="s">
        <v>176</v>
      </c>
    </row>
    <row r="149" spans="1:6" ht="14.25" x14ac:dyDescent="0.2">
      <c r="E149" s="13" t="s">
        <v>177</v>
      </c>
    </row>
    <row r="150" spans="1:6" ht="14.25" x14ac:dyDescent="0.2">
      <c r="E150" s="12" t="str">
        <f xml:space="preserve"> "Distance between both char is " &amp; F136+F141+F147 &amp;"m"</f>
        <v>Distance between both char is 20m</v>
      </c>
      <c r="F150" s="10">
        <f>F136+F141+F147</f>
        <v>20</v>
      </c>
    </row>
    <row r="152" spans="1:6" ht="14.25" x14ac:dyDescent="0.2">
      <c r="A152">
        <v>9</v>
      </c>
      <c r="B152" s="11" t="s">
        <v>151</v>
      </c>
      <c r="C152" s="11" t="s">
        <v>170</v>
      </c>
      <c r="D152" s="11" t="s">
        <v>139</v>
      </c>
      <c r="E152" s="11" t="str">
        <f>"action goal is " &amp; A152*5 &amp;"/50"</f>
        <v>action goal is 45/50</v>
      </c>
      <c r="F152" s="14">
        <f>F150</f>
        <v>20</v>
      </c>
    </row>
    <row r="153" spans="1:6" ht="14.25" x14ac:dyDescent="0.2">
      <c r="B153" s="11" t="s">
        <v>142</v>
      </c>
      <c r="C153" s="11" t="s">
        <v>172</v>
      </c>
      <c r="D153" s="11" t="s">
        <v>160</v>
      </c>
      <c r="E153" s="11" t="str">
        <f>"Distance between both char is " &amp; F152 &amp; "m"</f>
        <v>Distance between both char is 20m</v>
      </c>
    </row>
    <row r="154" spans="1:6" ht="14.25" x14ac:dyDescent="0.2">
      <c r="B154" s="11" t="s">
        <v>167</v>
      </c>
      <c r="C154" s="11" t="s">
        <v>172</v>
      </c>
      <c r="D154" s="11" t="s">
        <v>160</v>
      </c>
      <c r="E154" s="11" t="str">
        <f>"action goal is " &amp; A152*5 &amp;"/50, P1 cannot attk"</f>
        <v>action goal is 45/50, P1 cannot attk</v>
      </c>
    </row>
    <row r="155" spans="1:6" ht="14.25" x14ac:dyDescent="0.2">
      <c r="B155" s="11" t="s">
        <v>161</v>
      </c>
      <c r="C155" s="11" t="s">
        <v>172</v>
      </c>
      <c r="D155" s="11" t="s">
        <v>160</v>
      </c>
      <c r="E155" s="11" t="str">
        <f>"Attk range 5, Distance between both char is " &amp;F152&amp;"m"</f>
        <v>Attk range 5, Distance between both char is 20m</v>
      </c>
    </row>
    <row r="156" spans="1:6" ht="14.25" x14ac:dyDescent="0.2">
      <c r="B156" s="11" t="s">
        <v>163</v>
      </c>
      <c r="C156" s="11" t="s">
        <v>171</v>
      </c>
      <c r="D156" s="11" t="s">
        <v>139</v>
      </c>
      <c r="E156" s="11" t="s">
        <v>168</v>
      </c>
    </row>
    <row r="157" spans="1:6" ht="14.25" x14ac:dyDescent="0.2">
      <c r="B157" s="11" t="s">
        <v>162</v>
      </c>
      <c r="C157" s="11" t="s">
        <v>171</v>
      </c>
      <c r="D157" s="11" t="s">
        <v>139</v>
      </c>
      <c r="E157" s="11" t="s">
        <v>174</v>
      </c>
      <c r="F157">
        <v>-5</v>
      </c>
    </row>
    <row r="158" spans="1:6" ht="14.25" x14ac:dyDescent="0.2">
      <c r="B158" s="13" t="s">
        <v>152</v>
      </c>
      <c r="C158" s="13" t="s">
        <v>170</v>
      </c>
      <c r="D158" s="13" t="s">
        <v>139</v>
      </c>
      <c r="E158" s="13" t="str">
        <f>"action goal is " &amp; A152*4 &amp;"/50"</f>
        <v>action goal is 36/50</v>
      </c>
    </row>
    <row r="159" spans="1:6" ht="14.25" x14ac:dyDescent="0.2">
      <c r="B159" s="13" t="s">
        <v>153</v>
      </c>
      <c r="C159" s="13" t="s">
        <v>172</v>
      </c>
      <c r="D159" s="13" t="s">
        <v>160</v>
      </c>
      <c r="E159" s="13" t="str">
        <f>"Distance between both char is " &amp; F152 &amp; "m"</f>
        <v>Distance between both char is 20m</v>
      </c>
    </row>
    <row r="160" spans="1:6" ht="14.25" x14ac:dyDescent="0.2">
      <c r="B160" s="13" t="s">
        <v>173</v>
      </c>
      <c r="C160" s="13" t="s">
        <v>172</v>
      </c>
      <c r="D160" s="13" t="s">
        <v>160</v>
      </c>
      <c r="E160" s="13" t="str">
        <f>"action goal is " &amp; A152*4 &amp;"/50, P2 cannot attk"</f>
        <v>action goal is 36/50, P2 cannot attk</v>
      </c>
    </row>
    <row r="161" spans="1:6" ht="14.25" x14ac:dyDescent="0.2">
      <c r="B161" s="13" t="s">
        <v>164</v>
      </c>
      <c r="C161" s="13" t="s">
        <v>172</v>
      </c>
      <c r="D161" s="13" t="s">
        <v>160</v>
      </c>
      <c r="E161" s="13" t="str">
        <f>"Attk range 5, Distance between both char is " &amp;F152&amp;"m"</f>
        <v>Attk range 5, Distance between both char is 20m</v>
      </c>
    </row>
    <row r="162" spans="1:6" ht="14.25" x14ac:dyDescent="0.2">
      <c r="B162" s="13" t="s">
        <v>165</v>
      </c>
      <c r="C162" s="13" t="s">
        <v>171</v>
      </c>
      <c r="D162" s="13" t="s">
        <v>139</v>
      </c>
      <c r="E162" s="13" t="s">
        <v>180</v>
      </c>
    </row>
    <row r="163" spans="1:6" ht="14.25" x14ac:dyDescent="0.2">
      <c r="B163" s="13" t="s">
        <v>166</v>
      </c>
      <c r="C163" s="13" t="s">
        <v>171</v>
      </c>
      <c r="D163" s="13" t="s">
        <v>139</v>
      </c>
      <c r="E163" s="13" t="s">
        <v>175</v>
      </c>
      <c r="F163">
        <v>-5</v>
      </c>
    </row>
    <row r="164" spans="1:6" ht="14.25" x14ac:dyDescent="0.2">
      <c r="E164" s="11" t="s">
        <v>176</v>
      </c>
    </row>
    <row r="165" spans="1:6" ht="14.25" x14ac:dyDescent="0.2">
      <c r="E165" s="13" t="s">
        <v>177</v>
      </c>
    </row>
    <row r="166" spans="1:6" ht="14.25" x14ac:dyDescent="0.2">
      <c r="E166" s="12" t="str">
        <f xml:space="preserve"> "Distance between both char is " &amp; F152+F157+F163 &amp;"m"</f>
        <v>Distance between both char is 10m</v>
      </c>
      <c r="F166" s="10">
        <f>F152+F157+F163</f>
        <v>10</v>
      </c>
    </row>
    <row r="168" spans="1:6" ht="14.25" x14ac:dyDescent="0.2">
      <c r="A168">
        <v>10</v>
      </c>
      <c r="B168" s="11" t="s">
        <v>151</v>
      </c>
      <c r="C168" s="11" t="s">
        <v>170</v>
      </c>
      <c r="D168" s="11" t="s">
        <v>139</v>
      </c>
      <c r="E168" s="11" t="str">
        <f>"action goal is " &amp; A168*5 &amp;"/50"</f>
        <v>action goal is 50/50</v>
      </c>
      <c r="F168" s="14">
        <f>F166</f>
        <v>10</v>
      </c>
    </row>
    <row r="169" spans="1:6" ht="14.25" x14ac:dyDescent="0.2">
      <c r="B169" s="11" t="s">
        <v>142</v>
      </c>
      <c r="C169" s="11" t="s">
        <v>172</v>
      </c>
      <c r="D169" s="11" t="s">
        <v>160</v>
      </c>
      <c r="E169" s="11" t="str">
        <f>"Distance between both char is " &amp; F168 &amp; "m"</f>
        <v>Distance between both char is 10m</v>
      </c>
    </row>
    <row r="170" spans="1:6" ht="14.25" x14ac:dyDescent="0.2">
      <c r="B170" s="11" t="s">
        <v>167</v>
      </c>
      <c r="C170" s="11" t="s">
        <v>172</v>
      </c>
      <c r="D170" s="11" t="s">
        <v>160</v>
      </c>
      <c r="E170" s="11" t="str">
        <f>"action goal is " &amp; A168*5 &amp;"/50, P1 can attk"</f>
        <v>action goal is 50/50, P1 can attk</v>
      </c>
    </row>
    <row r="171" spans="1:6" ht="14.25" x14ac:dyDescent="0.2">
      <c r="B171" s="11" t="s">
        <v>161</v>
      </c>
      <c r="C171" s="11" t="s">
        <v>172</v>
      </c>
      <c r="D171" s="11" t="s">
        <v>160</v>
      </c>
      <c r="E171" s="11" t="str">
        <f>"Attk range 5, Distance between both char is " &amp;F168&amp;"m"</f>
        <v>Attk range 5, Distance between both char is 10m</v>
      </c>
    </row>
    <row r="172" spans="1:6" ht="14.25" x14ac:dyDescent="0.2">
      <c r="B172" s="11" t="s">
        <v>163</v>
      </c>
      <c r="C172" s="11" t="s">
        <v>171</v>
      </c>
      <c r="D172" s="11" t="s">
        <v>139</v>
      </c>
      <c r="E172" s="11" t="s">
        <v>215</v>
      </c>
    </row>
    <row r="173" spans="1:6" ht="14.25" x14ac:dyDescent="0.2">
      <c r="B173" s="11" t="s">
        <v>162</v>
      </c>
      <c r="C173" s="11" t="s">
        <v>171</v>
      </c>
      <c r="D173" s="11" t="s">
        <v>139</v>
      </c>
      <c r="E173" s="11" t="s">
        <v>174</v>
      </c>
      <c r="F173">
        <v>-5</v>
      </c>
    </row>
    <row r="174" spans="1:6" ht="14.25" x14ac:dyDescent="0.2">
      <c r="B174" s="13" t="s">
        <v>152</v>
      </c>
      <c r="C174" s="13" t="s">
        <v>170</v>
      </c>
      <c r="D174" s="13" t="s">
        <v>139</v>
      </c>
      <c r="E174" s="13" t="str">
        <f>"action goal is " &amp; A168*4 &amp;"/50"</f>
        <v>action goal is 40/50</v>
      </c>
    </row>
    <row r="175" spans="1:6" ht="14.25" x14ac:dyDescent="0.2">
      <c r="B175" s="13" t="s">
        <v>153</v>
      </c>
      <c r="C175" s="13" t="s">
        <v>172</v>
      </c>
      <c r="D175" s="13" t="s">
        <v>160</v>
      </c>
      <c r="E175" s="13" t="str">
        <f>"Distance between both char is " &amp; F168 &amp; "m"</f>
        <v>Distance between both char is 10m</v>
      </c>
    </row>
    <row r="176" spans="1:6" ht="14.25" x14ac:dyDescent="0.2">
      <c r="B176" s="13" t="s">
        <v>173</v>
      </c>
      <c r="C176" s="13" t="s">
        <v>172</v>
      </c>
      <c r="D176" s="13" t="s">
        <v>160</v>
      </c>
      <c r="E176" s="13" t="str">
        <f>"action goal is " &amp; A168*4 &amp;"/50, P2 cannot attk"</f>
        <v>action goal is 40/50, P2 cannot attk</v>
      </c>
    </row>
    <row r="177" spans="1:6" ht="14.25" x14ac:dyDescent="0.2">
      <c r="B177" s="13" t="s">
        <v>164</v>
      </c>
      <c r="C177" s="13" t="s">
        <v>172</v>
      </c>
      <c r="D177" s="13" t="s">
        <v>160</v>
      </c>
      <c r="E177" s="13" t="str">
        <f>"Attk range 5, Distance between both char is " &amp;F168&amp;"m"</f>
        <v>Attk range 5, Distance between both char is 10m</v>
      </c>
    </row>
    <row r="178" spans="1:6" ht="14.25" x14ac:dyDescent="0.2">
      <c r="B178" s="13" t="s">
        <v>165</v>
      </c>
      <c r="C178" s="13" t="s">
        <v>171</v>
      </c>
      <c r="D178" s="13" t="s">
        <v>139</v>
      </c>
      <c r="E178" s="13" t="s">
        <v>180</v>
      </c>
    </row>
    <row r="179" spans="1:6" ht="14.25" x14ac:dyDescent="0.2">
      <c r="B179" s="13" t="s">
        <v>166</v>
      </c>
      <c r="C179" s="13" t="s">
        <v>171</v>
      </c>
      <c r="D179" s="13" t="s">
        <v>139</v>
      </c>
      <c r="E179" s="13" t="s">
        <v>175</v>
      </c>
      <c r="F179">
        <v>-5</v>
      </c>
    </row>
    <row r="180" spans="1:6" ht="14.25" x14ac:dyDescent="0.2">
      <c r="E180" s="11" t="s">
        <v>176</v>
      </c>
    </row>
    <row r="181" spans="1:6" ht="14.25" x14ac:dyDescent="0.2">
      <c r="E181" s="13" t="s">
        <v>177</v>
      </c>
    </row>
    <row r="182" spans="1:6" ht="14.25" x14ac:dyDescent="0.2">
      <c r="E182" s="12" t="str">
        <f xml:space="preserve"> "Distance between both char is " &amp; F168+F173+F179 &amp;"m"</f>
        <v>Distance between both char is 0m</v>
      </c>
      <c r="F182" s="10">
        <f>F168+F173+F179</f>
        <v>0</v>
      </c>
    </row>
    <row r="184" spans="1:6" ht="14.25" x14ac:dyDescent="0.2">
      <c r="A184">
        <v>11</v>
      </c>
      <c r="B184" s="11" t="s">
        <v>151</v>
      </c>
      <c r="C184" s="11" t="s">
        <v>170</v>
      </c>
      <c r="D184" s="11" t="s">
        <v>139</v>
      </c>
      <c r="E184" s="11" t="s">
        <v>216</v>
      </c>
      <c r="F184" s="14">
        <f>F182</f>
        <v>0</v>
      </c>
    </row>
    <row r="185" spans="1:6" ht="14.25" x14ac:dyDescent="0.2">
      <c r="B185" s="11" t="s">
        <v>142</v>
      </c>
      <c r="C185" s="11" t="s">
        <v>172</v>
      </c>
      <c r="D185" s="11" t="s">
        <v>160</v>
      </c>
      <c r="E185" s="11" t="str">
        <f>"Distance between both char is " &amp; F184 &amp; "m"</f>
        <v>Distance between both char is 0m</v>
      </c>
    </row>
    <row r="186" spans="1:6" ht="14.25" x14ac:dyDescent="0.2">
      <c r="B186" s="11" t="s">
        <v>167</v>
      </c>
      <c r="C186" s="11" t="s">
        <v>172</v>
      </c>
      <c r="D186" s="11" t="s">
        <v>160</v>
      </c>
      <c r="E186" s="11" t="s">
        <v>217</v>
      </c>
    </row>
    <row r="187" spans="1:6" ht="14.25" x14ac:dyDescent="0.2">
      <c r="B187" s="11" t="s">
        <v>161</v>
      </c>
      <c r="C187" s="11" t="s">
        <v>172</v>
      </c>
      <c r="D187" s="11" t="s">
        <v>160</v>
      </c>
      <c r="E187" s="11" t="str">
        <f>"Attk range 5, Distance between both char is " &amp;F184&amp;"m"</f>
        <v>Attk range 5, Distance between both char is 0m</v>
      </c>
    </row>
    <row r="188" spans="1:6" ht="14.25" x14ac:dyDescent="0.2">
      <c r="B188" s="11" t="s">
        <v>218</v>
      </c>
      <c r="C188" s="11" t="s">
        <v>171</v>
      </c>
      <c r="D188" s="11" t="s">
        <v>139</v>
      </c>
      <c r="E188" s="11" t="s">
        <v>219</v>
      </c>
    </row>
    <row r="189" spans="1:6" ht="14.25" x14ac:dyDescent="0.2">
      <c r="B189" s="13" t="s">
        <v>152</v>
      </c>
      <c r="C189" s="13" t="s">
        <v>170</v>
      </c>
      <c r="D189" s="13" t="s">
        <v>139</v>
      </c>
      <c r="E189" s="13" t="str">
        <f>"action goal is " &amp; A184*4 &amp;"/50"</f>
        <v>action goal is 44/50</v>
      </c>
    </row>
    <row r="190" spans="1:6" ht="14.25" x14ac:dyDescent="0.2">
      <c r="B190" s="13" t="s">
        <v>153</v>
      </c>
      <c r="C190" s="13" t="s">
        <v>172</v>
      </c>
      <c r="D190" s="13" t="s">
        <v>160</v>
      </c>
      <c r="E190" s="13" t="str">
        <f>"Distance between both char is " &amp; F184 &amp; "m"</f>
        <v>Distance between both char is 0m</v>
      </c>
    </row>
    <row r="191" spans="1:6" ht="14.25" x14ac:dyDescent="0.2">
      <c r="B191" s="13" t="s">
        <v>173</v>
      </c>
      <c r="C191" s="13" t="s">
        <v>172</v>
      </c>
      <c r="D191" s="13" t="s">
        <v>160</v>
      </c>
      <c r="E191" s="13" t="str">
        <f>"action goal is " &amp; A184*4 &amp;"/50, P2 cannot attk"</f>
        <v>action goal is 44/50, P2 cannot attk</v>
      </c>
    </row>
    <row r="192" spans="1:6" ht="14.25" x14ac:dyDescent="0.2">
      <c r="B192" s="13" t="s">
        <v>164</v>
      </c>
      <c r="C192" s="13" t="s">
        <v>172</v>
      </c>
      <c r="D192" s="13" t="s">
        <v>160</v>
      </c>
      <c r="E192" s="13" t="str">
        <f>"Attk range 5, Distance between both char is " &amp;F184&amp;"m"</f>
        <v>Attk range 5, Distance between both char is 0m</v>
      </c>
    </row>
    <row r="193" spans="2:6" ht="14.25" x14ac:dyDescent="0.2">
      <c r="B193" s="13" t="s">
        <v>165</v>
      </c>
      <c r="C193" s="13" t="s">
        <v>171</v>
      </c>
      <c r="D193" s="13" t="s">
        <v>139</v>
      </c>
      <c r="E193" s="13" t="s">
        <v>220</v>
      </c>
    </row>
    <row r="194" spans="2:6" ht="14.25" x14ac:dyDescent="0.2">
      <c r="B194" s="13"/>
      <c r="C194" s="13" t="s">
        <v>171</v>
      </c>
      <c r="D194" s="13" t="s">
        <v>139</v>
      </c>
      <c r="E194" s="13" t="s">
        <v>175</v>
      </c>
      <c r="F194">
        <v>-5</v>
      </c>
    </row>
    <row r="195" spans="2:6" ht="14.25" x14ac:dyDescent="0.2">
      <c r="E195" s="11" t="s">
        <v>176</v>
      </c>
    </row>
    <row r="196" spans="2:6" ht="14.25" x14ac:dyDescent="0.2">
      <c r="E196" s="13" t="s">
        <v>177</v>
      </c>
    </row>
    <row r="197" spans="2:6" ht="14.25" x14ac:dyDescent="0.2">
      <c r="E197" s="12">
        <f>F15</f>
        <v>100</v>
      </c>
      <c r="F197" s="10" t="e">
        <f>F184+#REF!+F194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6D93-19DC-42C4-8137-EC46E84379EE}">
  <dimension ref="A1:D111"/>
  <sheetViews>
    <sheetView topLeftCell="A64" workbookViewId="0">
      <selection activeCell="O34" sqref="O34"/>
    </sheetView>
  </sheetViews>
  <sheetFormatPr defaultRowHeight="12.75" x14ac:dyDescent="0.2"/>
  <sheetData>
    <row r="1" spans="1:4" ht="14.25" x14ac:dyDescent="0.2">
      <c r="A1" s="11" t="s">
        <v>151</v>
      </c>
      <c r="B1" s="11" t="s">
        <v>170</v>
      </c>
      <c r="C1" s="11" t="s">
        <v>139</v>
      </c>
      <c r="D1" s="11" t="str">
        <f>"action goal is " &amp; 'Game flow chart'!A40*5 &amp;"/50"</f>
        <v>action goal is 10/50</v>
      </c>
    </row>
    <row r="2" spans="1:4" ht="14.25" x14ac:dyDescent="0.2">
      <c r="A2" s="11" t="s">
        <v>142</v>
      </c>
      <c r="B2" s="11" t="s">
        <v>172</v>
      </c>
      <c r="C2" s="11" t="s">
        <v>160</v>
      </c>
      <c r="D2" s="11" t="s">
        <v>190</v>
      </c>
    </row>
    <row r="3" spans="1:4" ht="14.25" x14ac:dyDescent="0.2">
      <c r="A3" s="11" t="s">
        <v>167</v>
      </c>
      <c r="B3" s="11" t="s">
        <v>172</v>
      </c>
      <c r="C3" s="11" t="s">
        <v>160</v>
      </c>
      <c r="D3" s="11" t="s">
        <v>178</v>
      </c>
    </row>
    <row r="4" spans="1:4" ht="14.25" x14ac:dyDescent="0.2">
      <c r="A4" s="11" t="s">
        <v>161</v>
      </c>
      <c r="B4" s="11" t="s">
        <v>172</v>
      </c>
      <c r="C4" s="11" t="s">
        <v>160</v>
      </c>
      <c r="D4" s="11" t="s">
        <v>192</v>
      </c>
    </row>
    <row r="5" spans="1:4" ht="14.25" x14ac:dyDescent="0.2">
      <c r="A5" s="11" t="s">
        <v>163</v>
      </c>
      <c r="B5" s="11" t="s">
        <v>171</v>
      </c>
      <c r="C5" s="11" t="s">
        <v>139</v>
      </c>
      <c r="D5" s="11" t="s">
        <v>168</v>
      </c>
    </row>
    <row r="6" spans="1:4" ht="14.25" x14ac:dyDescent="0.2">
      <c r="A6" s="11" t="s">
        <v>162</v>
      </c>
      <c r="B6" s="11" t="s">
        <v>171</v>
      </c>
      <c r="C6" s="11" t="s">
        <v>139</v>
      </c>
      <c r="D6" s="11" t="s">
        <v>174</v>
      </c>
    </row>
    <row r="7" spans="1:4" ht="14.25" x14ac:dyDescent="0.2">
      <c r="A7" s="13" t="s">
        <v>152</v>
      </c>
      <c r="B7" s="13" t="s">
        <v>170</v>
      </c>
      <c r="C7" s="13" t="s">
        <v>139</v>
      </c>
      <c r="D7" s="13" t="str">
        <f>"action goal is " &amp; 'Game flow chart'!A40*4 &amp;"/50"</f>
        <v>action goal is 8/50</v>
      </c>
    </row>
    <row r="8" spans="1:4" ht="14.25" x14ac:dyDescent="0.2">
      <c r="A8" s="13" t="s">
        <v>153</v>
      </c>
      <c r="B8" s="13" t="s">
        <v>172</v>
      </c>
      <c r="C8" s="13" t="s">
        <v>160</v>
      </c>
      <c r="D8" s="13" t="s">
        <v>190</v>
      </c>
    </row>
    <row r="9" spans="1:4" ht="14.25" x14ac:dyDescent="0.2">
      <c r="A9" s="13" t="s">
        <v>173</v>
      </c>
      <c r="B9" s="13" t="s">
        <v>172</v>
      </c>
      <c r="C9" s="13" t="s">
        <v>160</v>
      </c>
      <c r="D9" s="13" t="s">
        <v>179</v>
      </c>
    </row>
    <row r="10" spans="1:4" ht="14.25" x14ac:dyDescent="0.2">
      <c r="A10" s="13" t="s">
        <v>164</v>
      </c>
      <c r="B10" s="13" t="s">
        <v>172</v>
      </c>
      <c r="C10" s="13" t="s">
        <v>160</v>
      </c>
      <c r="D10" s="13" t="s">
        <v>192</v>
      </c>
    </row>
    <row r="11" spans="1:4" ht="14.25" x14ac:dyDescent="0.2">
      <c r="A11" s="13" t="s">
        <v>165</v>
      </c>
      <c r="B11" s="13" t="s">
        <v>171</v>
      </c>
      <c r="C11" s="13" t="s">
        <v>139</v>
      </c>
      <c r="D11" s="13" t="s">
        <v>180</v>
      </c>
    </row>
    <row r="12" spans="1:4" ht="14.25" x14ac:dyDescent="0.2">
      <c r="A12" s="13" t="s">
        <v>166</v>
      </c>
      <c r="B12" s="13" t="s">
        <v>171</v>
      </c>
      <c r="C12" s="13" t="s">
        <v>139</v>
      </c>
      <c r="D12" s="13" t="s">
        <v>175</v>
      </c>
    </row>
    <row r="13" spans="1:4" ht="14.25" x14ac:dyDescent="0.2">
      <c r="D13" s="11" t="s">
        <v>176</v>
      </c>
    </row>
    <row r="14" spans="1:4" ht="14.25" x14ac:dyDescent="0.2">
      <c r="D14" s="13" t="s">
        <v>177</v>
      </c>
    </row>
    <row r="15" spans="1:4" ht="14.25" x14ac:dyDescent="0.2">
      <c r="D15" s="12" t="s">
        <v>193</v>
      </c>
    </row>
    <row r="17" spans="1:4" ht="14.25" x14ac:dyDescent="0.2">
      <c r="A17" s="11" t="s">
        <v>151</v>
      </c>
      <c r="B17" s="11" t="s">
        <v>170</v>
      </c>
      <c r="C17" s="11" t="s">
        <v>139</v>
      </c>
      <c r="D17" s="11" t="str">
        <f>"action goal is " &amp; 'Game flow chart'!A56*5 &amp;"/50"</f>
        <v>action goal is 15/50</v>
      </c>
    </row>
    <row r="18" spans="1:4" ht="14.25" x14ac:dyDescent="0.2">
      <c r="A18" s="11" t="s">
        <v>142</v>
      </c>
      <c r="B18" s="11" t="s">
        <v>172</v>
      </c>
      <c r="C18" s="11" t="s">
        <v>160</v>
      </c>
      <c r="D18" s="11" t="s">
        <v>194</v>
      </c>
    </row>
    <row r="19" spans="1:4" ht="14.25" x14ac:dyDescent="0.2">
      <c r="A19" s="11" t="s">
        <v>167</v>
      </c>
      <c r="B19" s="11" t="s">
        <v>172</v>
      </c>
      <c r="C19" s="11" t="s">
        <v>160</v>
      </c>
      <c r="D19" s="11" t="s">
        <v>178</v>
      </c>
    </row>
    <row r="20" spans="1:4" ht="14.25" x14ac:dyDescent="0.2">
      <c r="A20" s="11" t="s">
        <v>161</v>
      </c>
      <c r="B20" s="11" t="s">
        <v>172</v>
      </c>
      <c r="C20" s="11" t="s">
        <v>160</v>
      </c>
      <c r="D20" s="11" t="s">
        <v>195</v>
      </c>
    </row>
    <row r="21" spans="1:4" ht="14.25" x14ac:dyDescent="0.2">
      <c r="A21" s="11" t="s">
        <v>163</v>
      </c>
      <c r="B21" s="11" t="s">
        <v>171</v>
      </c>
      <c r="C21" s="11" t="s">
        <v>139</v>
      </c>
      <c r="D21" s="11" t="s">
        <v>168</v>
      </c>
    </row>
    <row r="22" spans="1:4" ht="14.25" x14ac:dyDescent="0.2">
      <c r="A22" s="11" t="s">
        <v>162</v>
      </c>
      <c r="B22" s="11" t="s">
        <v>171</v>
      </c>
      <c r="C22" s="11" t="s">
        <v>139</v>
      </c>
      <c r="D22" s="11" t="s">
        <v>174</v>
      </c>
    </row>
    <row r="23" spans="1:4" ht="14.25" x14ac:dyDescent="0.2">
      <c r="A23" s="13" t="s">
        <v>152</v>
      </c>
      <c r="B23" s="13" t="s">
        <v>170</v>
      </c>
      <c r="C23" s="13" t="s">
        <v>139</v>
      </c>
      <c r="D23" s="13" t="str">
        <f>"action goal is " &amp; 'Game flow chart'!A56*4 &amp;"/50"</f>
        <v>action goal is 12/50</v>
      </c>
    </row>
    <row r="24" spans="1:4" ht="14.25" x14ac:dyDescent="0.2">
      <c r="A24" s="13" t="s">
        <v>153</v>
      </c>
      <c r="B24" s="13" t="s">
        <v>172</v>
      </c>
      <c r="C24" s="13" t="s">
        <v>160</v>
      </c>
      <c r="D24" s="13" t="s">
        <v>194</v>
      </c>
    </row>
    <row r="25" spans="1:4" ht="14.25" x14ac:dyDescent="0.2">
      <c r="A25" s="13" t="s">
        <v>173</v>
      </c>
      <c r="B25" s="13" t="s">
        <v>172</v>
      </c>
      <c r="C25" s="13" t="s">
        <v>160</v>
      </c>
      <c r="D25" s="13" t="s">
        <v>184</v>
      </c>
    </row>
    <row r="26" spans="1:4" ht="14.25" x14ac:dyDescent="0.2">
      <c r="A26" s="13" t="s">
        <v>164</v>
      </c>
      <c r="B26" s="13" t="s">
        <v>172</v>
      </c>
      <c r="C26" s="13" t="s">
        <v>160</v>
      </c>
      <c r="D26" s="13" t="s">
        <v>195</v>
      </c>
    </row>
    <row r="27" spans="1:4" ht="14.25" x14ac:dyDescent="0.2">
      <c r="A27" s="13" t="s">
        <v>165</v>
      </c>
      <c r="B27" s="13" t="s">
        <v>171</v>
      </c>
      <c r="C27" s="13" t="s">
        <v>139</v>
      </c>
      <c r="D27" s="13" t="s">
        <v>180</v>
      </c>
    </row>
    <row r="28" spans="1:4" ht="14.25" x14ac:dyDescent="0.2">
      <c r="A28" s="13" t="s">
        <v>166</v>
      </c>
      <c r="B28" s="13" t="s">
        <v>171</v>
      </c>
      <c r="C28" s="13" t="s">
        <v>139</v>
      </c>
      <c r="D28" s="13" t="s">
        <v>175</v>
      </c>
    </row>
    <row r="29" spans="1:4" ht="14.25" x14ac:dyDescent="0.2">
      <c r="D29" s="11" t="s">
        <v>176</v>
      </c>
    </row>
    <row r="30" spans="1:4" ht="14.25" x14ac:dyDescent="0.2">
      <c r="D30" s="13" t="s">
        <v>177</v>
      </c>
    </row>
    <row r="31" spans="1:4" ht="14.25" x14ac:dyDescent="0.2">
      <c r="D31" s="12" t="s">
        <v>196</v>
      </c>
    </row>
    <row r="33" spans="1:4" ht="14.25" x14ac:dyDescent="0.2">
      <c r="A33" s="11" t="s">
        <v>151</v>
      </c>
      <c r="B33" s="11" t="s">
        <v>170</v>
      </c>
      <c r="C33" s="11" t="s">
        <v>139</v>
      </c>
      <c r="D33" s="11" t="str">
        <f>"action goal is " &amp; 'Game flow chart'!A72*5 &amp;"/50"</f>
        <v>action goal is 20/50</v>
      </c>
    </row>
    <row r="34" spans="1:4" ht="14.25" x14ac:dyDescent="0.2">
      <c r="A34" s="11" t="s">
        <v>142</v>
      </c>
      <c r="B34" s="11" t="s">
        <v>172</v>
      </c>
      <c r="C34" s="11" t="s">
        <v>160</v>
      </c>
      <c r="D34" s="11" t="s">
        <v>197</v>
      </c>
    </row>
    <row r="35" spans="1:4" ht="14.25" x14ac:dyDescent="0.2">
      <c r="A35" s="11" t="s">
        <v>167</v>
      </c>
      <c r="B35" s="11" t="s">
        <v>172</v>
      </c>
      <c r="C35" s="11" t="s">
        <v>160</v>
      </c>
      <c r="D35" s="11" t="s">
        <v>187</v>
      </c>
    </row>
    <row r="36" spans="1:4" ht="14.25" x14ac:dyDescent="0.2">
      <c r="A36" s="11" t="s">
        <v>161</v>
      </c>
      <c r="B36" s="11" t="s">
        <v>172</v>
      </c>
      <c r="C36" s="11" t="s">
        <v>160</v>
      </c>
      <c r="D36" s="11" t="s">
        <v>198</v>
      </c>
    </row>
    <row r="37" spans="1:4" ht="14.25" x14ac:dyDescent="0.2">
      <c r="A37" s="11" t="s">
        <v>163</v>
      </c>
      <c r="B37" s="11" t="s">
        <v>171</v>
      </c>
      <c r="C37" s="11" t="s">
        <v>139</v>
      </c>
      <c r="D37" s="11" t="s">
        <v>168</v>
      </c>
    </row>
    <row r="38" spans="1:4" ht="14.25" x14ac:dyDescent="0.2">
      <c r="A38" s="11" t="s">
        <v>162</v>
      </c>
      <c r="B38" s="11" t="s">
        <v>171</v>
      </c>
      <c r="C38" s="11" t="s">
        <v>139</v>
      </c>
      <c r="D38" s="11" t="s">
        <v>174</v>
      </c>
    </row>
    <row r="39" spans="1:4" ht="14.25" x14ac:dyDescent="0.2">
      <c r="A39" s="13" t="s">
        <v>152</v>
      </c>
      <c r="B39" s="13" t="s">
        <v>170</v>
      </c>
      <c r="C39" s="13" t="s">
        <v>139</v>
      </c>
      <c r="D39" s="13" t="str">
        <f>"action goal is " &amp; 'Game flow chart'!A72*4 &amp;"/50"</f>
        <v>action goal is 16/50</v>
      </c>
    </row>
    <row r="40" spans="1:4" ht="14.25" x14ac:dyDescent="0.2">
      <c r="A40" s="13" t="s">
        <v>153</v>
      </c>
      <c r="B40" s="13" t="s">
        <v>172</v>
      </c>
      <c r="C40" s="13" t="s">
        <v>160</v>
      </c>
      <c r="D40" s="13" t="s">
        <v>197</v>
      </c>
    </row>
    <row r="41" spans="1:4" ht="14.25" x14ac:dyDescent="0.2">
      <c r="A41" s="13" t="s">
        <v>173</v>
      </c>
      <c r="B41" s="13" t="s">
        <v>172</v>
      </c>
      <c r="C41" s="13" t="s">
        <v>160</v>
      </c>
      <c r="D41" s="13" t="s">
        <v>188</v>
      </c>
    </row>
    <row r="42" spans="1:4" ht="14.25" x14ac:dyDescent="0.2">
      <c r="A42" s="13" t="s">
        <v>164</v>
      </c>
      <c r="B42" s="13" t="s">
        <v>172</v>
      </c>
      <c r="C42" s="13" t="s">
        <v>160</v>
      </c>
      <c r="D42" s="13" t="s">
        <v>198</v>
      </c>
    </row>
    <row r="43" spans="1:4" ht="14.25" x14ac:dyDescent="0.2">
      <c r="A43" s="13" t="s">
        <v>165</v>
      </c>
      <c r="B43" s="13" t="s">
        <v>171</v>
      </c>
      <c r="C43" s="13" t="s">
        <v>139</v>
      </c>
      <c r="D43" s="13" t="s">
        <v>180</v>
      </c>
    </row>
    <row r="44" spans="1:4" ht="14.25" x14ac:dyDescent="0.2">
      <c r="A44" s="13" t="s">
        <v>166</v>
      </c>
      <c r="B44" s="13" t="s">
        <v>171</v>
      </c>
      <c r="C44" s="13" t="s">
        <v>139</v>
      </c>
      <c r="D44" s="13" t="s">
        <v>175</v>
      </c>
    </row>
    <row r="45" spans="1:4" ht="14.25" x14ac:dyDescent="0.2">
      <c r="D45" s="11" t="s">
        <v>176</v>
      </c>
    </row>
    <row r="46" spans="1:4" ht="14.25" x14ac:dyDescent="0.2">
      <c r="D46" s="13" t="s">
        <v>177</v>
      </c>
    </row>
    <row r="47" spans="1:4" ht="14.25" x14ac:dyDescent="0.2">
      <c r="D47" s="12" t="s">
        <v>199</v>
      </c>
    </row>
    <row r="49" spans="1:4" ht="14.25" x14ac:dyDescent="0.2">
      <c r="A49" s="11" t="s">
        <v>151</v>
      </c>
      <c r="B49" s="11" t="s">
        <v>170</v>
      </c>
      <c r="C49" s="11" t="s">
        <v>139</v>
      </c>
      <c r="D49" s="11" t="str">
        <f>"action goal is " &amp; 'Game flow chart'!A88*5 &amp;"/50"</f>
        <v>action goal is 25/50</v>
      </c>
    </row>
    <row r="50" spans="1:4" ht="14.25" x14ac:dyDescent="0.2">
      <c r="A50" s="11" t="s">
        <v>142</v>
      </c>
      <c r="B50" s="11" t="s">
        <v>172</v>
      </c>
      <c r="C50" s="11" t="s">
        <v>160</v>
      </c>
      <c r="D50" s="11" t="s">
        <v>200</v>
      </c>
    </row>
    <row r="51" spans="1:4" ht="14.25" x14ac:dyDescent="0.2">
      <c r="A51" s="11" t="s">
        <v>167</v>
      </c>
      <c r="B51" s="11" t="s">
        <v>172</v>
      </c>
      <c r="C51" s="11" t="s">
        <v>160</v>
      </c>
      <c r="D51" s="11" t="s">
        <v>201</v>
      </c>
    </row>
    <row r="52" spans="1:4" ht="14.25" x14ac:dyDescent="0.2">
      <c r="A52" s="11" t="s">
        <v>161</v>
      </c>
      <c r="B52" s="11" t="s">
        <v>172</v>
      </c>
      <c r="C52" s="11" t="s">
        <v>160</v>
      </c>
      <c r="D52" s="11" t="s">
        <v>202</v>
      </c>
    </row>
    <row r="53" spans="1:4" ht="14.25" x14ac:dyDescent="0.2">
      <c r="A53" s="11" t="s">
        <v>163</v>
      </c>
      <c r="B53" s="11" t="s">
        <v>171</v>
      </c>
      <c r="C53" s="11" t="s">
        <v>139</v>
      </c>
      <c r="D53" s="11" t="s">
        <v>168</v>
      </c>
    </row>
    <row r="54" spans="1:4" ht="14.25" x14ac:dyDescent="0.2">
      <c r="A54" s="11" t="s">
        <v>162</v>
      </c>
      <c r="B54" s="11" t="s">
        <v>171</v>
      </c>
      <c r="C54" s="11" t="s">
        <v>139</v>
      </c>
      <c r="D54" s="11" t="s">
        <v>174</v>
      </c>
    </row>
    <row r="55" spans="1:4" ht="14.25" x14ac:dyDescent="0.2">
      <c r="A55" s="13" t="s">
        <v>152</v>
      </c>
      <c r="B55" s="13" t="s">
        <v>170</v>
      </c>
      <c r="C55" s="13" t="s">
        <v>139</v>
      </c>
      <c r="D55" s="13" t="str">
        <f>"action goal is " &amp; 'Game flow chart'!A88*4 &amp;"/50"</f>
        <v>action goal is 20/50</v>
      </c>
    </row>
    <row r="56" spans="1:4" ht="14.25" x14ac:dyDescent="0.2">
      <c r="A56" s="13" t="s">
        <v>153</v>
      </c>
      <c r="B56" s="13" t="s">
        <v>172</v>
      </c>
      <c r="C56" s="13" t="s">
        <v>160</v>
      </c>
      <c r="D56" s="13" t="s">
        <v>200</v>
      </c>
    </row>
    <row r="57" spans="1:4" ht="14.25" x14ac:dyDescent="0.2">
      <c r="A57" s="13" t="s">
        <v>173</v>
      </c>
      <c r="B57" s="13" t="s">
        <v>172</v>
      </c>
      <c r="C57" s="13" t="s">
        <v>160</v>
      </c>
      <c r="D57" s="13" t="s">
        <v>203</v>
      </c>
    </row>
    <row r="58" spans="1:4" ht="14.25" x14ac:dyDescent="0.2">
      <c r="A58" s="13" t="s">
        <v>164</v>
      </c>
      <c r="B58" s="13" t="s">
        <v>172</v>
      </c>
      <c r="C58" s="13" t="s">
        <v>160</v>
      </c>
      <c r="D58" s="13" t="s">
        <v>202</v>
      </c>
    </row>
    <row r="59" spans="1:4" ht="14.25" x14ac:dyDescent="0.2">
      <c r="A59" s="13" t="s">
        <v>165</v>
      </c>
      <c r="B59" s="13" t="s">
        <v>171</v>
      </c>
      <c r="C59" s="13" t="s">
        <v>139</v>
      </c>
      <c r="D59" s="13" t="s">
        <v>180</v>
      </c>
    </row>
    <row r="60" spans="1:4" ht="14.25" x14ac:dyDescent="0.2">
      <c r="A60" s="13" t="s">
        <v>166</v>
      </c>
      <c r="B60" s="13" t="s">
        <v>171</v>
      </c>
      <c r="C60" s="13" t="s">
        <v>139</v>
      </c>
      <c r="D60" s="13" t="s">
        <v>175</v>
      </c>
    </row>
    <row r="61" spans="1:4" ht="14.25" x14ac:dyDescent="0.2">
      <c r="D61" s="11" t="s">
        <v>176</v>
      </c>
    </row>
    <row r="62" spans="1:4" ht="14.25" x14ac:dyDescent="0.2">
      <c r="D62" s="13" t="s">
        <v>177</v>
      </c>
    </row>
    <row r="63" spans="1:4" ht="14.25" x14ac:dyDescent="0.2">
      <c r="D63" s="12" t="s">
        <v>204</v>
      </c>
    </row>
    <row r="65" spans="1:4" ht="14.25" x14ac:dyDescent="0.2">
      <c r="A65" s="11" t="s">
        <v>151</v>
      </c>
      <c r="B65" s="11" t="s">
        <v>170</v>
      </c>
      <c r="C65" s="11" t="s">
        <v>139</v>
      </c>
      <c r="D65" s="11" t="str">
        <f>"action goal is " &amp; 'Game flow chart'!A104*5 &amp;"/50"</f>
        <v>action goal is 30/50</v>
      </c>
    </row>
    <row r="66" spans="1:4" ht="14.25" x14ac:dyDescent="0.2">
      <c r="A66" s="11" t="s">
        <v>142</v>
      </c>
      <c r="B66" s="11" t="s">
        <v>172</v>
      </c>
      <c r="C66" s="11" t="s">
        <v>160</v>
      </c>
      <c r="D66" s="11" t="s">
        <v>205</v>
      </c>
    </row>
    <row r="67" spans="1:4" ht="14.25" x14ac:dyDescent="0.2">
      <c r="A67" s="11" t="s">
        <v>167</v>
      </c>
      <c r="B67" s="11" t="s">
        <v>172</v>
      </c>
      <c r="C67" s="11" t="s">
        <v>160</v>
      </c>
      <c r="D67" s="11" t="s">
        <v>206</v>
      </c>
    </row>
    <row r="68" spans="1:4" ht="14.25" x14ac:dyDescent="0.2">
      <c r="A68" s="11" t="s">
        <v>161</v>
      </c>
      <c r="B68" s="11" t="s">
        <v>172</v>
      </c>
      <c r="C68" s="11" t="s">
        <v>160</v>
      </c>
      <c r="D68" s="11" t="s">
        <v>207</v>
      </c>
    </row>
    <row r="69" spans="1:4" ht="14.25" x14ac:dyDescent="0.2">
      <c r="A69" s="11" t="s">
        <v>163</v>
      </c>
      <c r="B69" s="11" t="s">
        <v>171</v>
      </c>
      <c r="C69" s="11" t="s">
        <v>139</v>
      </c>
      <c r="D69" s="11" t="s">
        <v>168</v>
      </c>
    </row>
    <row r="70" spans="1:4" ht="14.25" x14ac:dyDescent="0.2">
      <c r="A70" s="11" t="s">
        <v>162</v>
      </c>
      <c r="B70" s="11" t="s">
        <v>171</v>
      </c>
      <c r="C70" s="11" t="s">
        <v>139</v>
      </c>
      <c r="D70" s="11" t="s">
        <v>174</v>
      </c>
    </row>
    <row r="71" spans="1:4" ht="14.25" x14ac:dyDescent="0.2">
      <c r="A71" s="13" t="s">
        <v>152</v>
      </c>
      <c r="B71" s="13" t="s">
        <v>170</v>
      </c>
      <c r="C71" s="13" t="s">
        <v>139</v>
      </c>
      <c r="D71" s="13" t="str">
        <f>"action goal is " &amp; 'Game flow chart'!A104*4 &amp;"/50"</f>
        <v>action goal is 24/50</v>
      </c>
    </row>
    <row r="72" spans="1:4" ht="14.25" x14ac:dyDescent="0.2">
      <c r="A72" s="13" t="s">
        <v>153</v>
      </c>
      <c r="B72" s="13" t="s">
        <v>172</v>
      </c>
      <c r="C72" s="13" t="s">
        <v>160</v>
      </c>
      <c r="D72" s="13" t="s">
        <v>205</v>
      </c>
    </row>
    <row r="73" spans="1:4" ht="14.25" x14ac:dyDescent="0.2">
      <c r="A73" s="13" t="s">
        <v>173</v>
      </c>
      <c r="B73" s="13" t="s">
        <v>172</v>
      </c>
      <c r="C73" s="13" t="s">
        <v>160</v>
      </c>
      <c r="D73" s="13" t="s">
        <v>208</v>
      </c>
    </row>
    <row r="74" spans="1:4" ht="14.25" x14ac:dyDescent="0.2">
      <c r="A74" s="13" t="s">
        <v>164</v>
      </c>
      <c r="B74" s="13" t="s">
        <v>172</v>
      </c>
      <c r="C74" s="13" t="s">
        <v>160</v>
      </c>
      <c r="D74" s="13" t="s">
        <v>207</v>
      </c>
    </row>
    <row r="75" spans="1:4" ht="14.25" x14ac:dyDescent="0.2">
      <c r="A75" s="13" t="s">
        <v>165</v>
      </c>
      <c r="B75" s="13" t="s">
        <v>171</v>
      </c>
      <c r="C75" s="13" t="s">
        <v>139</v>
      </c>
      <c r="D75" s="13" t="s">
        <v>180</v>
      </c>
    </row>
    <row r="76" spans="1:4" ht="14.25" x14ac:dyDescent="0.2">
      <c r="A76" s="13" t="s">
        <v>166</v>
      </c>
      <c r="B76" s="13" t="s">
        <v>171</v>
      </c>
      <c r="C76" s="13" t="s">
        <v>139</v>
      </c>
      <c r="D76" s="13" t="s">
        <v>175</v>
      </c>
    </row>
    <row r="77" spans="1:4" ht="14.25" x14ac:dyDescent="0.2">
      <c r="D77" s="11" t="s">
        <v>176</v>
      </c>
    </row>
    <row r="78" spans="1:4" ht="14.25" x14ac:dyDescent="0.2">
      <c r="D78" s="13" t="s">
        <v>177</v>
      </c>
    </row>
    <row r="79" spans="1:4" ht="14.25" x14ac:dyDescent="0.2">
      <c r="D79" s="12" t="s">
        <v>209</v>
      </c>
    </row>
    <row r="81" spans="1:4" ht="14.25" x14ac:dyDescent="0.2">
      <c r="A81" s="11" t="s">
        <v>151</v>
      </c>
      <c r="B81" s="11" t="s">
        <v>170</v>
      </c>
      <c r="C81" s="11" t="s">
        <v>139</v>
      </c>
      <c r="D81" s="11" t="str">
        <f>"action goal is " &amp; 'Game flow chart'!A120*5 &amp;"/50"</f>
        <v>action goal is 35/50</v>
      </c>
    </row>
    <row r="82" spans="1:4" ht="14.25" x14ac:dyDescent="0.2">
      <c r="A82" s="11" t="s">
        <v>142</v>
      </c>
      <c r="B82" s="11" t="s">
        <v>172</v>
      </c>
      <c r="C82" s="11" t="s">
        <v>160</v>
      </c>
      <c r="D82" s="11" t="s">
        <v>210</v>
      </c>
    </row>
    <row r="83" spans="1:4" ht="14.25" x14ac:dyDescent="0.2">
      <c r="A83" s="11" t="s">
        <v>167</v>
      </c>
      <c r="B83" s="11" t="s">
        <v>172</v>
      </c>
      <c r="C83" s="11" t="s">
        <v>160</v>
      </c>
      <c r="D83" s="11" t="s">
        <v>211</v>
      </c>
    </row>
    <row r="84" spans="1:4" ht="14.25" x14ac:dyDescent="0.2">
      <c r="A84" s="11" t="s">
        <v>161</v>
      </c>
      <c r="B84" s="11" t="s">
        <v>172</v>
      </c>
      <c r="C84" s="11" t="s">
        <v>160</v>
      </c>
      <c r="D84" s="11" t="s">
        <v>212</v>
      </c>
    </row>
    <row r="85" spans="1:4" ht="14.25" x14ac:dyDescent="0.2">
      <c r="A85" s="11" t="s">
        <v>163</v>
      </c>
      <c r="B85" s="11" t="s">
        <v>171</v>
      </c>
      <c r="C85" s="11" t="s">
        <v>139</v>
      </c>
      <c r="D85" s="11" t="s">
        <v>168</v>
      </c>
    </row>
    <row r="86" spans="1:4" ht="14.25" x14ac:dyDescent="0.2">
      <c r="A86" s="11" t="s">
        <v>162</v>
      </c>
      <c r="B86" s="11" t="s">
        <v>171</v>
      </c>
      <c r="C86" s="11" t="s">
        <v>139</v>
      </c>
      <c r="D86" s="11" t="s">
        <v>174</v>
      </c>
    </row>
    <row r="87" spans="1:4" ht="14.25" x14ac:dyDescent="0.2">
      <c r="A87" s="13" t="s">
        <v>152</v>
      </c>
      <c r="B87" s="13" t="s">
        <v>170</v>
      </c>
      <c r="C87" s="13" t="s">
        <v>139</v>
      </c>
      <c r="D87" s="13" t="str">
        <f>"action goal is " &amp; 'Game flow chart'!A120*4 &amp;"/50"</f>
        <v>action goal is 28/50</v>
      </c>
    </row>
    <row r="88" spans="1:4" ht="14.25" x14ac:dyDescent="0.2">
      <c r="A88" s="13" t="s">
        <v>153</v>
      </c>
      <c r="B88" s="13" t="s">
        <v>172</v>
      </c>
      <c r="C88" s="13" t="s">
        <v>160</v>
      </c>
      <c r="D88" s="13" t="s">
        <v>210</v>
      </c>
    </row>
    <row r="89" spans="1:4" ht="14.25" x14ac:dyDescent="0.2">
      <c r="A89" s="13" t="s">
        <v>173</v>
      </c>
      <c r="B89" s="13" t="s">
        <v>172</v>
      </c>
      <c r="C89" s="13" t="s">
        <v>160</v>
      </c>
      <c r="D89" s="13" t="s">
        <v>213</v>
      </c>
    </row>
    <row r="90" spans="1:4" ht="14.25" x14ac:dyDescent="0.2">
      <c r="A90" s="13" t="s">
        <v>164</v>
      </c>
      <c r="B90" s="13" t="s">
        <v>172</v>
      </c>
      <c r="C90" s="13" t="s">
        <v>160</v>
      </c>
      <c r="D90" s="13" t="s">
        <v>212</v>
      </c>
    </row>
    <row r="91" spans="1:4" ht="14.25" x14ac:dyDescent="0.2">
      <c r="A91" s="13" t="s">
        <v>165</v>
      </c>
      <c r="B91" s="13" t="s">
        <v>171</v>
      </c>
      <c r="C91" s="13" t="s">
        <v>139</v>
      </c>
      <c r="D91" s="13" t="s">
        <v>180</v>
      </c>
    </row>
    <row r="92" spans="1:4" ht="14.25" x14ac:dyDescent="0.2">
      <c r="A92" s="13" t="s">
        <v>166</v>
      </c>
      <c r="B92" s="13" t="s">
        <v>171</v>
      </c>
      <c r="C92" s="13" t="s">
        <v>139</v>
      </c>
      <c r="D92" s="13" t="s">
        <v>175</v>
      </c>
    </row>
    <row r="93" spans="1:4" ht="14.25" x14ac:dyDescent="0.2">
      <c r="D93" s="11" t="s">
        <v>176</v>
      </c>
    </row>
    <row r="94" spans="1:4" ht="14.25" x14ac:dyDescent="0.2">
      <c r="D94" s="13" t="s">
        <v>177</v>
      </c>
    </row>
    <row r="95" spans="1:4" ht="14.25" x14ac:dyDescent="0.2">
      <c r="D95" s="12" t="s">
        <v>214</v>
      </c>
    </row>
    <row r="97" spans="1:4" ht="14.25" x14ac:dyDescent="0.2">
      <c r="A97" s="11" t="s">
        <v>151</v>
      </c>
      <c r="B97" s="11" t="s">
        <v>170</v>
      </c>
      <c r="C97" s="11" t="s">
        <v>139</v>
      </c>
      <c r="D97" s="11" t="str">
        <f>"action goal is " &amp; 'Game flow chart'!A136*5 &amp;"/50"</f>
        <v>action goal is 40/50</v>
      </c>
    </row>
    <row r="98" spans="1:4" ht="14.25" x14ac:dyDescent="0.2">
      <c r="A98" s="11" t="s">
        <v>142</v>
      </c>
      <c r="B98" s="11" t="s">
        <v>172</v>
      </c>
      <c r="C98" s="11" t="s">
        <v>160</v>
      </c>
      <c r="D98" s="11" t="s">
        <v>210</v>
      </c>
    </row>
    <row r="99" spans="1:4" ht="14.25" x14ac:dyDescent="0.2">
      <c r="A99" s="11" t="s">
        <v>167</v>
      </c>
      <c r="B99" s="11" t="s">
        <v>172</v>
      </c>
      <c r="C99" s="11" t="s">
        <v>160</v>
      </c>
      <c r="D99" s="11" t="str">
        <f>"action goal is " &amp; 'Game flow chart'!A136*5 &amp;"/50, P1 cannot attk"</f>
        <v>action goal is 40/50, P1 cannot attk</v>
      </c>
    </row>
    <row r="100" spans="1:4" ht="14.25" x14ac:dyDescent="0.2">
      <c r="A100" s="11" t="s">
        <v>161</v>
      </c>
      <c r="B100" s="11" t="s">
        <v>172</v>
      </c>
      <c r="C100" s="11" t="s">
        <v>160</v>
      </c>
      <c r="D100" s="11" t="s">
        <v>212</v>
      </c>
    </row>
    <row r="101" spans="1:4" ht="14.25" x14ac:dyDescent="0.2">
      <c r="A101" s="11" t="s">
        <v>163</v>
      </c>
      <c r="B101" s="11" t="s">
        <v>171</v>
      </c>
      <c r="C101" s="11" t="s">
        <v>139</v>
      </c>
      <c r="D101" s="11" t="s">
        <v>168</v>
      </c>
    </row>
    <row r="102" spans="1:4" ht="14.25" x14ac:dyDescent="0.2">
      <c r="A102" s="11" t="s">
        <v>162</v>
      </c>
      <c r="B102" s="11" t="s">
        <v>171</v>
      </c>
      <c r="C102" s="11" t="s">
        <v>139</v>
      </c>
      <c r="D102" s="11" t="s">
        <v>174</v>
      </c>
    </row>
    <row r="103" spans="1:4" ht="14.25" x14ac:dyDescent="0.2">
      <c r="A103" s="13" t="s">
        <v>152</v>
      </c>
      <c r="B103" s="13" t="s">
        <v>170</v>
      </c>
      <c r="C103" s="13" t="s">
        <v>139</v>
      </c>
      <c r="D103" s="13" t="str">
        <f>"action goal is " &amp; 'Game flow chart'!A136*4 &amp;"/50"</f>
        <v>action goal is 32/50</v>
      </c>
    </row>
    <row r="104" spans="1:4" ht="14.25" x14ac:dyDescent="0.2">
      <c r="A104" s="13" t="s">
        <v>153</v>
      </c>
      <c r="B104" s="13" t="s">
        <v>172</v>
      </c>
      <c r="C104" s="13" t="s">
        <v>160</v>
      </c>
      <c r="D104" s="13" t="s">
        <v>210</v>
      </c>
    </row>
    <row r="105" spans="1:4" ht="14.25" x14ac:dyDescent="0.2">
      <c r="A105" s="13" t="s">
        <v>173</v>
      </c>
      <c r="B105" s="13" t="s">
        <v>172</v>
      </c>
      <c r="C105" s="13" t="s">
        <v>160</v>
      </c>
      <c r="D105" s="13" t="str">
        <f>"action goal is " &amp; 'Game flow chart'!A136*5 &amp;"/50, P2 cannot attk"</f>
        <v>action goal is 40/50, P2 cannot attk</v>
      </c>
    </row>
    <row r="106" spans="1:4" ht="14.25" x14ac:dyDescent="0.2">
      <c r="A106" s="13" t="s">
        <v>164</v>
      </c>
      <c r="B106" s="13" t="s">
        <v>172</v>
      </c>
      <c r="C106" s="13" t="s">
        <v>160</v>
      </c>
      <c r="D106" s="13" t="s">
        <v>212</v>
      </c>
    </row>
    <row r="107" spans="1:4" ht="14.25" x14ac:dyDescent="0.2">
      <c r="A107" s="13" t="s">
        <v>165</v>
      </c>
      <c r="B107" s="13" t="s">
        <v>171</v>
      </c>
      <c r="C107" s="13" t="s">
        <v>139</v>
      </c>
      <c r="D107" s="13" t="s">
        <v>180</v>
      </c>
    </row>
    <row r="108" spans="1:4" ht="14.25" x14ac:dyDescent="0.2">
      <c r="A108" s="13" t="s">
        <v>166</v>
      </c>
      <c r="B108" s="13" t="s">
        <v>171</v>
      </c>
      <c r="C108" s="13" t="s">
        <v>139</v>
      </c>
      <c r="D108" s="13" t="s">
        <v>175</v>
      </c>
    </row>
    <row r="109" spans="1:4" ht="14.25" x14ac:dyDescent="0.2">
      <c r="D109" s="11" t="s">
        <v>176</v>
      </c>
    </row>
    <row r="110" spans="1:4" ht="14.25" x14ac:dyDescent="0.2">
      <c r="D110" s="13" t="s">
        <v>177</v>
      </c>
    </row>
    <row r="111" spans="1:4" ht="14.25" x14ac:dyDescent="0.2">
      <c r="D111" s="12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>
      <selection activeCell="A33" sqref="A33"/>
    </sheetView>
  </sheetViews>
  <sheetFormatPr defaultColWidth="12.5703125" defaultRowHeight="15.75" customHeight="1" x14ac:dyDescent="0.2"/>
  <cols>
    <col min="1" max="1" width="51.28515625" customWidth="1"/>
    <col min="2" max="2" width="47.7109375" customWidth="1"/>
    <col min="6" max="6" width="41.42578125" customWidth="1"/>
    <col min="9" max="9" width="28.7109375" customWidth="1"/>
  </cols>
  <sheetData>
    <row r="1" spans="1:26" x14ac:dyDescent="0.2">
      <c r="A1" s="5" t="s">
        <v>94</v>
      </c>
      <c r="B1" s="6" t="s">
        <v>95</v>
      </c>
      <c r="C1" s="5"/>
      <c r="D1" s="5"/>
      <c r="F1" s="2"/>
      <c r="G1" s="5"/>
      <c r="H1" s="5" t="s">
        <v>96</v>
      </c>
      <c r="I1" s="6" t="s">
        <v>97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3" t="s">
        <v>98</v>
      </c>
      <c r="B2" s="2" t="s">
        <v>99</v>
      </c>
      <c r="F2" s="2"/>
      <c r="H2" s="3" t="s">
        <v>100</v>
      </c>
      <c r="I2" s="2" t="s">
        <v>101</v>
      </c>
    </row>
    <row r="3" spans="1:26" x14ac:dyDescent="0.2">
      <c r="A3" s="3" t="s">
        <v>102</v>
      </c>
      <c r="B3" s="2" t="s">
        <v>103</v>
      </c>
      <c r="F3" s="2"/>
      <c r="H3" s="3" t="s">
        <v>104</v>
      </c>
      <c r="I3" s="2" t="s">
        <v>105</v>
      </c>
    </row>
    <row r="4" spans="1:26" x14ac:dyDescent="0.2">
      <c r="A4" s="3" t="s">
        <v>106</v>
      </c>
      <c r="B4" s="2" t="s">
        <v>107</v>
      </c>
      <c r="F4" s="2"/>
      <c r="H4" s="3" t="s">
        <v>108</v>
      </c>
      <c r="I4" s="2"/>
    </row>
    <row r="5" spans="1:26" x14ac:dyDescent="0.2">
      <c r="A5" s="3" t="s">
        <v>109</v>
      </c>
      <c r="B5" s="2" t="s">
        <v>110</v>
      </c>
      <c r="F5" s="2"/>
      <c r="I5" s="2"/>
    </row>
    <row r="6" spans="1:26" x14ac:dyDescent="0.2">
      <c r="A6" s="3" t="s">
        <v>111</v>
      </c>
      <c r="B6" s="2" t="s">
        <v>112</v>
      </c>
      <c r="F6" s="2"/>
      <c r="I6" s="2"/>
    </row>
    <row r="7" spans="1:26" x14ac:dyDescent="0.2">
      <c r="A7" s="3" t="s">
        <v>113</v>
      </c>
      <c r="B7" s="2" t="s">
        <v>114</v>
      </c>
      <c r="F7" s="2"/>
      <c r="I7" s="2"/>
    </row>
    <row r="8" spans="1:26" x14ac:dyDescent="0.2">
      <c r="A8" s="3" t="s">
        <v>115</v>
      </c>
      <c r="B8" s="2" t="s">
        <v>116</v>
      </c>
      <c r="F8" s="2" t="s">
        <v>117</v>
      </c>
      <c r="I8" s="2"/>
    </row>
    <row r="9" spans="1:26" x14ac:dyDescent="0.2">
      <c r="A9" s="3" t="s">
        <v>118</v>
      </c>
      <c r="B9" s="2" t="s">
        <v>119</v>
      </c>
      <c r="F9" s="2"/>
      <c r="I9" s="2"/>
    </row>
    <row r="10" spans="1:26" x14ac:dyDescent="0.2">
      <c r="A10" s="3" t="s">
        <v>120</v>
      </c>
      <c r="B10" s="2" t="s">
        <v>121</v>
      </c>
      <c r="F10" s="2"/>
      <c r="I10" s="2"/>
    </row>
    <row r="11" spans="1:26" x14ac:dyDescent="0.2">
      <c r="B11" s="2"/>
      <c r="F11" s="2"/>
      <c r="I11" s="2"/>
    </row>
    <row r="12" spans="1:26" x14ac:dyDescent="0.2">
      <c r="B12" s="2"/>
      <c r="F12" s="2"/>
      <c r="I12" s="2"/>
    </row>
    <row r="13" spans="1:26" x14ac:dyDescent="0.2">
      <c r="B13" s="2"/>
      <c r="F13" s="2"/>
      <c r="I13" s="2"/>
    </row>
    <row r="14" spans="1:26" x14ac:dyDescent="0.2">
      <c r="B14" s="2"/>
      <c r="F14" s="2"/>
      <c r="I14" s="2"/>
    </row>
    <row r="15" spans="1:26" x14ac:dyDescent="0.2">
      <c r="B15" s="2"/>
      <c r="F15" s="2"/>
      <c r="I15" s="2"/>
    </row>
    <row r="16" spans="1:26" x14ac:dyDescent="0.2">
      <c r="B16" s="2"/>
      <c r="F16" s="2"/>
      <c r="I16" s="2"/>
    </row>
    <row r="17" spans="2:9" x14ac:dyDescent="0.2">
      <c r="B17" s="2"/>
      <c r="F17" s="2"/>
      <c r="I17" s="2"/>
    </row>
    <row r="18" spans="2:9" x14ac:dyDescent="0.2">
      <c r="B18" s="2"/>
      <c r="F18" s="2"/>
      <c r="I18" s="2"/>
    </row>
    <row r="19" spans="2:9" x14ac:dyDescent="0.2">
      <c r="B19" s="2"/>
      <c r="F19" s="2"/>
      <c r="I19" s="2"/>
    </row>
    <row r="20" spans="2:9" x14ac:dyDescent="0.2">
      <c r="B20" s="2"/>
      <c r="F20" s="2"/>
      <c r="I20" s="2"/>
    </row>
    <row r="21" spans="2:9" x14ac:dyDescent="0.2">
      <c r="B21" s="2"/>
      <c r="F21" s="2"/>
      <c r="I21" s="2"/>
    </row>
    <row r="22" spans="2:9" x14ac:dyDescent="0.2">
      <c r="B22" s="2"/>
      <c r="F22" s="2"/>
      <c r="I22" s="2"/>
    </row>
    <row r="23" spans="2:9" x14ac:dyDescent="0.2">
      <c r="B23" s="2"/>
      <c r="F23" s="2"/>
      <c r="I23" s="2"/>
    </row>
    <row r="24" spans="2:9" x14ac:dyDescent="0.2">
      <c r="B24" s="2"/>
      <c r="F24" s="2"/>
      <c r="I24" s="2"/>
    </row>
    <row r="25" spans="2:9" x14ac:dyDescent="0.2">
      <c r="B25" s="2"/>
      <c r="F25" s="2"/>
      <c r="I25" s="2"/>
    </row>
    <row r="26" spans="2:9" x14ac:dyDescent="0.2">
      <c r="B26" s="2"/>
      <c r="F26" s="2"/>
      <c r="I26" s="2"/>
    </row>
    <row r="27" spans="2:9" x14ac:dyDescent="0.2">
      <c r="B27" s="2"/>
      <c r="F27" s="2"/>
      <c r="I27" s="2"/>
    </row>
    <row r="28" spans="2:9" x14ac:dyDescent="0.2">
      <c r="B28" s="2"/>
      <c r="F28" s="2"/>
      <c r="I28" s="2"/>
    </row>
    <row r="29" spans="2:9" x14ac:dyDescent="0.2">
      <c r="B29" s="2"/>
      <c r="F29" s="2"/>
      <c r="I29" s="2"/>
    </row>
    <row r="30" spans="2:9" x14ac:dyDescent="0.2">
      <c r="B30" s="2"/>
      <c r="F30" s="2"/>
      <c r="I30" s="2"/>
    </row>
    <row r="31" spans="2:9" x14ac:dyDescent="0.2">
      <c r="B31" s="2"/>
      <c r="F31" s="2"/>
      <c r="I31" s="2"/>
    </row>
    <row r="32" spans="2:9" x14ac:dyDescent="0.2">
      <c r="B32" s="2"/>
      <c r="F32" s="2"/>
      <c r="I32" s="2"/>
    </row>
    <row r="33" spans="2:9" x14ac:dyDescent="0.2">
      <c r="B33" s="2"/>
      <c r="F33" s="2"/>
      <c r="I33" s="2"/>
    </row>
    <row r="34" spans="2:9" x14ac:dyDescent="0.2">
      <c r="B34" s="2"/>
      <c r="F34" s="2"/>
      <c r="I34" s="2"/>
    </row>
    <row r="35" spans="2:9" x14ac:dyDescent="0.2">
      <c r="B35" s="2"/>
      <c r="F35" s="2"/>
      <c r="I35" s="2"/>
    </row>
    <row r="36" spans="2:9" x14ac:dyDescent="0.2">
      <c r="B36" s="2"/>
      <c r="F36" s="2"/>
      <c r="I36" s="2"/>
    </row>
    <row r="37" spans="2:9" x14ac:dyDescent="0.2">
      <c r="B37" s="2"/>
      <c r="F37" s="2"/>
      <c r="I37" s="2"/>
    </row>
    <row r="38" spans="2:9" x14ac:dyDescent="0.2">
      <c r="B38" s="2"/>
      <c r="F38" s="2"/>
      <c r="I38" s="2"/>
    </row>
    <row r="39" spans="2:9" x14ac:dyDescent="0.2">
      <c r="B39" s="2"/>
      <c r="F39" s="2"/>
      <c r="I39" s="2"/>
    </row>
    <row r="40" spans="2:9" x14ac:dyDescent="0.2">
      <c r="B40" s="2"/>
      <c r="F40" s="2"/>
      <c r="I40" s="2"/>
    </row>
    <row r="41" spans="2:9" x14ac:dyDescent="0.2">
      <c r="B41" s="2"/>
      <c r="F41" s="2"/>
      <c r="I41" s="2"/>
    </row>
    <row r="42" spans="2:9" x14ac:dyDescent="0.2">
      <c r="B42" s="2"/>
      <c r="F42" s="2"/>
      <c r="I42" s="2"/>
    </row>
    <row r="43" spans="2:9" x14ac:dyDescent="0.2">
      <c r="B43" s="2"/>
      <c r="F43" s="2"/>
      <c r="I43" s="2"/>
    </row>
    <row r="44" spans="2:9" x14ac:dyDescent="0.2">
      <c r="B44" s="2"/>
      <c r="F44" s="2"/>
      <c r="I44" s="2"/>
    </row>
    <row r="45" spans="2:9" x14ac:dyDescent="0.2">
      <c r="B45" s="2"/>
      <c r="F45" s="2"/>
      <c r="I45" s="2"/>
    </row>
    <row r="46" spans="2:9" x14ac:dyDescent="0.2">
      <c r="B46" s="2"/>
      <c r="F46" s="2"/>
      <c r="I46" s="2"/>
    </row>
    <row r="47" spans="2:9" x14ac:dyDescent="0.2">
      <c r="B47" s="2"/>
      <c r="F47" s="2"/>
      <c r="I47" s="2"/>
    </row>
    <row r="48" spans="2:9" x14ac:dyDescent="0.2">
      <c r="B48" s="2"/>
      <c r="F48" s="2"/>
      <c r="I48" s="2"/>
    </row>
    <row r="49" spans="2:9" x14ac:dyDescent="0.2">
      <c r="B49" s="2"/>
      <c r="F49" s="2"/>
      <c r="I49" s="2"/>
    </row>
    <row r="50" spans="2:9" x14ac:dyDescent="0.2">
      <c r="B50" s="2"/>
      <c r="F50" s="2"/>
      <c r="I50" s="2"/>
    </row>
    <row r="51" spans="2:9" x14ac:dyDescent="0.2">
      <c r="B51" s="2"/>
      <c r="F51" s="2"/>
      <c r="I51" s="2"/>
    </row>
    <row r="52" spans="2:9" x14ac:dyDescent="0.2">
      <c r="B52" s="2"/>
      <c r="F52" s="2"/>
      <c r="I52" s="2"/>
    </row>
    <row r="53" spans="2:9" x14ac:dyDescent="0.2">
      <c r="B53" s="2"/>
      <c r="F53" s="2"/>
      <c r="I53" s="2"/>
    </row>
    <row r="54" spans="2:9" x14ac:dyDescent="0.2">
      <c r="B54" s="2"/>
      <c r="F54" s="2"/>
      <c r="I54" s="2"/>
    </row>
    <row r="55" spans="2:9" x14ac:dyDescent="0.2">
      <c r="B55" s="2"/>
      <c r="F55" s="2"/>
      <c r="I55" s="2"/>
    </row>
    <row r="56" spans="2:9" x14ac:dyDescent="0.2">
      <c r="B56" s="2"/>
      <c r="F56" s="2"/>
      <c r="I56" s="2"/>
    </row>
    <row r="57" spans="2:9" x14ac:dyDescent="0.2">
      <c r="B57" s="2"/>
      <c r="F57" s="2"/>
      <c r="I57" s="2"/>
    </row>
    <row r="58" spans="2:9" x14ac:dyDescent="0.2">
      <c r="B58" s="2"/>
      <c r="F58" s="2"/>
      <c r="I58" s="2"/>
    </row>
    <row r="59" spans="2:9" x14ac:dyDescent="0.2">
      <c r="B59" s="2"/>
      <c r="F59" s="2"/>
      <c r="I59" s="2"/>
    </row>
    <row r="60" spans="2:9" x14ac:dyDescent="0.2">
      <c r="B60" s="2"/>
      <c r="F60" s="2"/>
      <c r="I60" s="2"/>
    </row>
    <row r="61" spans="2:9" x14ac:dyDescent="0.2">
      <c r="B61" s="2"/>
      <c r="F61" s="2"/>
      <c r="I61" s="2"/>
    </row>
    <row r="62" spans="2:9" x14ac:dyDescent="0.2">
      <c r="B62" s="2"/>
      <c r="F62" s="2"/>
      <c r="I62" s="2"/>
    </row>
    <row r="63" spans="2:9" x14ac:dyDescent="0.2">
      <c r="B63" s="2"/>
      <c r="F63" s="2"/>
      <c r="I63" s="2"/>
    </row>
    <row r="64" spans="2:9" x14ac:dyDescent="0.2">
      <c r="B64" s="2"/>
      <c r="F64" s="2"/>
      <c r="I64" s="2"/>
    </row>
    <row r="65" spans="2:9" x14ac:dyDescent="0.2">
      <c r="B65" s="2"/>
      <c r="F65" s="2"/>
      <c r="I65" s="2"/>
    </row>
    <row r="66" spans="2:9" x14ac:dyDescent="0.2">
      <c r="B66" s="2"/>
      <c r="F66" s="2"/>
      <c r="I66" s="2"/>
    </row>
    <row r="67" spans="2:9" x14ac:dyDescent="0.2">
      <c r="B67" s="2"/>
      <c r="F67" s="2"/>
      <c r="I67" s="2"/>
    </row>
    <row r="68" spans="2:9" x14ac:dyDescent="0.2">
      <c r="B68" s="2"/>
      <c r="F68" s="2"/>
      <c r="I68" s="2"/>
    </row>
    <row r="69" spans="2:9" x14ac:dyDescent="0.2">
      <c r="B69" s="2"/>
      <c r="F69" s="2"/>
      <c r="I69" s="2"/>
    </row>
    <row r="70" spans="2:9" x14ac:dyDescent="0.2">
      <c r="B70" s="2"/>
      <c r="F70" s="2"/>
      <c r="I70" s="2"/>
    </row>
    <row r="71" spans="2:9" x14ac:dyDescent="0.2">
      <c r="B71" s="2"/>
      <c r="F71" s="2"/>
      <c r="I71" s="2"/>
    </row>
    <row r="72" spans="2:9" x14ac:dyDescent="0.2">
      <c r="B72" s="2"/>
      <c r="F72" s="2"/>
      <c r="I72" s="2"/>
    </row>
    <row r="73" spans="2:9" x14ac:dyDescent="0.2">
      <c r="B73" s="2"/>
      <c r="F73" s="2"/>
      <c r="I73" s="2"/>
    </row>
    <row r="74" spans="2:9" x14ac:dyDescent="0.2">
      <c r="B74" s="2"/>
      <c r="F74" s="2"/>
      <c r="I74" s="2"/>
    </row>
    <row r="75" spans="2:9" x14ac:dyDescent="0.2">
      <c r="B75" s="2"/>
      <c r="F75" s="2"/>
      <c r="I75" s="2"/>
    </row>
    <row r="76" spans="2:9" x14ac:dyDescent="0.2">
      <c r="B76" s="2"/>
      <c r="F76" s="2"/>
      <c r="I76" s="2"/>
    </row>
    <row r="77" spans="2:9" x14ac:dyDescent="0.2">
      <c r="B77" s="2"/>
      <c r="F77" s="2"/>
      <c r="I77" s="2"/>
    </row>
    <row r="78" spans="2:9" x14ac:dyDescent="0.2">
      <c r="B78" s="2"/>
      <c r="F78" s="2"/>
      <c r="I78" s="2"/>
    </row>
    <row r="79" spans="2:9" x14ac:dyDescent="0.2">
      <c r="B79" s="2"/>
      <c r="F79" s="2"/>
      <c r="I79" s="2"/>
    </row>
    <row r="80" spans="2:9" x14ac:dyDescent="0.2">
      <c r="B80" s="2"/>
      <c r="F80" s="2"/>
      <c r="I80" s="2"/>
    </row>
    <row r="81" spans="2:9" x14ac:dyDescent="0.2">
      <c r="B81" s="2"/>
      <c r="F81" s="2"/>
      <c r="I81" s="2"/>
    </row>
    <row r="82" spans="2:9" x14ac:dyDescent="0.2">
      <c r="B82" s="2"/>
      <c r="F82" s="2"/>
      <c r="I82" s="2"/>
    </row>
    <row r="83" spans="2:9" x14ac:dyDescent="0.2">
      <c r="B83" s="2"/>
      <c r="F83" s="2"/>
      <c r="I83" s="2"/>
    </row>
    <row r="84" spans="2:9" x14ac:dyDescent="0.2">
      <c r="B84" s="2"/>
      <c r="F84" s="2"/>
      <c r="I84" s="2"/>
    </row>
    <row r="85" spans="2:9" x14ac:dyDescent="0.2">
      <c r="B85" s="2"/>
      <c r="F85" s="2"/>
      <c r="I85" s="2"/>
    </row>
    <row r="86" spans="2:9" x14ac:dyDescent="0.2">
      <c r="B86" s="2"/>
      <c r="F86" s="2"/>
      <c r="I86" s="2"/>
    </row>
    <row r="87" spans="2:9" x14ac:dyDescent="0.2">
      <c r="B87" s="2"/>
      <c r="F87" s="2"/>
      <c r="I87" s="2"/>
    </row>
    <row r="88" spans="2:9" x14ac:dyDescent="0.2">
      <c r="B88" s="2"/>
      <c r="F88" s="2"/>
      <c r="I88" s="2"/>
    </row>
    <row r="89" spans="2:9" x14ac:dyDescent="0.2">
      <c r="B89" s="2"/>
      <c r="F89" s="2"/>
      <c r="I89" s="2"/>
    </row>
    <row r="90" spans="2:9" x14ac:dyDescent="0.2">
      <c r="B90" s="2"/>
      <c r="F90" s="2"/>
      <c r="I90" s="2"/>
    </row>
    <row r="91" spans="2:9" x14ac:dyDescent="0.2">
      <c r="B91" s="2"/>
      <c r="F91" s="2"/>
      <c r="I91" s="2"/>
    </row>
    <row r="92" spans="2:9" x14ac:dyDescent="0.2">
      <c r="B92" s="2"/>
      <c r="F92" s="2"/>
      <c r="I92" s="2"/>
    </row>
    <row r="93" spans="2:9" x14ac:dyDescent="0.2">
      <c r="B93" s="2"/>
      <c r="F93" s="2"/>
      <c r="I93" s="2"/>
    </row>
    <row r="94" spans="2:9" x14ac:dyDescent="0.2">
      <c r="B94" s="2"/>
      <c r="F94" s="2"/>
      <c r="I94" s="2"/>
    </row>
    <row r="95" spans="2:9" x14ac:dyDescent="0.2">
      <c r="B95" s="2"/>
      <c r="F95" s="2"/>
      <c r="I95" s="2"/>
    </row>
    <row r="96" spans="2:9" x14ac:dyDescent="0.2">
      <c r="B96" s="2"/>
      <c r="F96" s="2"/>
      <c r="I96" s="2"/>
    </row>
    <row r="97" spans="2:9" x14ac:dyDescent="0.2">
      <c r="B97" s="2"/>
      <c r="F97" s="2"/>
      <c r="I97" s="2"/>
    </row>
    <row r="98" spans="2:9" x14ac:dyDescent="0.2">
      <c r="B98" s="2"/>
      <c r="F98" s="2"/>
      <c r="I98" s="2"/>
    </row>
    <row r="99" spans="2:9" x14ac:dyDescent="0.2">
      <c r="B99" s="2"/>
      <c r="F99" s="2"/>
      <c r="I99" s="2"/>
    </row>
    <row r="100" spans="2:9" x14ac:dyDescent="0.2">
      <c r="B100" s="2"/>
      <c r="F100" s="2"/>
      <c r="I100" s="2"/>
    </row>
    <row r="101" spans="2:9" x14ac:dyDescent="0.2">
      <c r="B101" s="2"/>
      <c r="F101" s="2"/>
      <c r="I101" s="2"/>
    </row>
    <row r="102" spans="2:9" x14ac:dyDescent="0.2">
      <c r="B102" s="2"/>
      <c r="F102" s="2"/>
      <c r="I102" s="2"/>
    </row>
    <row r="103" spans="2:9" x14ac:dyDescent="0.2">
      <c r="B103" s="2"/>
      <c r="F103" s="2"/>
      <c r="I103" s="2"/>
    </row>
    <row r="104" spans="2:9" x14ac:dyDescent="0.2">
      <c r="B104" s="2"/>
      <c r="F104" s="2"/>
      <c r="I104" s="2"/>
    </row>
    <row r="105" spans="2:9" x14ac:dyDescent="0.2">
      <c r="B105" s="2"/>
      <c r="F105" s="2"/>
      <c r="I105" s="2"/>
    </row>
    <row r="106" spans="2:9" x14ac:dyDescent="0.2">
      <c r="B106" s="2"/>
      <c r="F106" s="2"/>
      <c r="I106" s="2"/>
    </row>
    <row r="107" spans="2:9" x14ac:dyDescent="0.2">
      <c r="B107" s="2"/>
      <c r="F107" s="2"/>
      <c r="I107" s="2"/>
    </row>
    <row r="108" spans="2:9" x14ac:dyDescent="0.2">
      <c r="B108" s="2"/>
      <c r="F108" s="2"/>
      <c r="I108" s="2"/>
    </row>
    <row r="109" spans="2:9" x14ac:dyDescent="0.2">
      <c r="B109" s="2"/>
      <c r="F109" s="2"/>
      <c r="I109" s="2"/>
    </row>
    <row r="110" spans="2:9" x14ac:dyDescent="0.2">
      <c r="B110" s="2"/>
      <c r="F110" s="2"/>
      <c r="I110" s="2"/>
    </row>
    <row r="111" spans="2:9" x14ac:dyDescent="0.2">
      <c r="B111" s="2"/>
      <c r="F111" s="2"/>
      <c r="I111" s="2"/>
    </row>
    <row r="112" spans="2:9" x14ac:dyDescent="0.2">
      <c r="B112" s="2"/>
      <c r="F112" s="2"/>
      <c r="I112" s="2"/>
    </row>
    <row r="113" spans="2:9" x14ac:dyDescent="0.2">
      <c r="B113" s="2"/>
      <c r="F113" s="2"/>
      <c r="I113" s="2"/>
    </row>
    <row r="114" spans="2:9" x14ac:dyDescent="0.2">
      <c r="B114" s="2"/>
      <c r="F114" s="2"/>
      <c r="I114" s="2"/>
    </row>
    <row r="115" spans="2:9" x14ac:dyDescent="0.2">
      <c r="B115" s="2"/>
      <c r="F115" s="2"/>
      <c r="I115" s="2"/>
    </row>
    <row r="116" spans="2:9" x14ac:dyDescent="0.2">
      <c r="B116" s="2"/>
      <c r="F116" s="2"/>
      <c r="I116" s="2"/>
    </row>
    <row r="117" spans="2:9" x14ac:dyDescent="0.2">
      <c r="B117" s="2"/>
      <c r="F117" s="2"/>
      <c r="I117" s="2"/>
    </row>
    <row r="118" spans="2:9" x14ac:dyDescent="0.2">
      <c r="B118" s="2"/>
      <c r="F118" s="2"/>
      <c r="I118" s="2"/>
    </row>
    <row r="119" spans="2:9" x14ac:dyDescent="0.2">
      <c r="B119" s="2"/>
      <c r="F119" s="2"/>
      <c r="I119" s="2"/>
    </row>
    <row r="120" spans="2:9" x14ac:dyDescent="0.2">
      <c r="B120" s="2"/>
      <c r="F120" s="2"/>
      <c r="I120" s="2"/>
    </row>
    <row r="121" spans="2:9" x14ac:dyDescent="0.2">
      <c r="B121" s="2"/>
      <c r="F121" s="2"/>
      <c r="I121" s="2"/>
    </row>
    <row r="122" spans="2:9" x14ac:dyDescent="0.2">
      <c r="B122" s="2"/>
      <c r="F122" s="2"/>
      <c r="I122" s="2"/>
    </row>
    <row r="123" spans="2:9" x14ac:dyDescent="0.2">
      <c r="B123" s="2"/>
      <c r="F123" s="2"/>
      <c r="I123" s="2"/>
    </row>
    <row r="124" spans="2:9" x14ac:dyDescent="0.2">
      <c r="B124" s="2"/>
      <c r="F124" s="2"/>
      <c r="I124" s="2"/>
    </row>
    <row r="125" spans="2:9" x14ac:dyDescent="0.2">
      <c r="B125" s="2"/>
      <c r="F125" s="2"/>
      <c r="I125" s="2"/>
    </row>
    <row r="126" spans="2:9" x14ac:dyDescent="0.2">
      <c r="B126" s="2"/>
      <c r="F126" s="2"/>
      <c r="I126" s="2"/>
    </row>
    <row r="127" spans="2:9" x14ac:dyDescent="0.2">
      <c r="B127" s="2"/>
      <c r="F127" s="2"/>
      <c r="I127" s="2"/>
    </row>
    <row r="128" spans="2:9" x14ac:dyDescent="0.2">
      <c r="B128" s="2"/>
      <c r="F128" s="2"/>
      <c r="I128" s="2"/>
    </row>
    <row r="129" spans="2:9" x14ac:dyDescent="0.2">
      <c r="B129" s="2"/>
      <c r="F129" s="2"/>
      <c r="I129" s="2"/>
    </row>
    <row r="130" spans="2:9" x14ac:dyDescent="0.2">
      <c r="B130" s="2"/>
      <c r="F130" s="2"/>
      <c r="I130" s="2"/>
    </row>
    <row r="131" spans="2:9" x14ac:dyDescent="0.2">
      <c r="B131" s="2"/>
      <c r="F131" s="2"/>
      <c r="I131" s="2"/>
    </row>
    <row r="132" spans="2:9" x14ac:dyDescent="0.2">
      <c r="B132" s="2"/>
      <c r="F132" s="2"/>
      <c r="I132" s="2"/>
    </row>
    <row r="133" spans="2:9" x14ac:dyDescent="0.2">
      <c r="B133" s="2"/>
      <c r="F133" s="2"/>
      <c r="I133" s="2"/>
    </row>
    <row r="134" spans="2:9" x14ac:dyDescent="0.2">
      <c r="B134" s="2"/>
      <c r="F134" s="2"/>
      <c r="I134" s="2"/>
    </row>
    <row r="135" spans="2:9" x14ac:dyDescent="0.2">
      <c r="B135" s="2"/>
      <c r="F135" s="2"/>
      <c r="I135" s="2"/>
    </row>
    <row r="136" spans="2:9" x14ac:dyDescent="0.2">
      <c r="B136" s="2"/>
      <c r="F136" s="2"/>
      <c r="I136" s="2"/>
    </row>
    <row r="137" spans="2:9" x14ac:dyDescent="0.2">
      <c r="B137" s="2"/>
      <c r="F137" s="2"/>
      <c r="I137" s="2"/>
    </row>
    <row r="138" spans="2:9" x14ac:dyDescent="0.2">
      <c r="B138" s="2"/>
      <c r="F138" s="2"/>
      <c r="I138" s="2"/>
    </row>
    <row r="139" spans="2:9" x14ac:dyDescent="0.2">
      <c r="B139" s="2"/>
      <c r="F139" s="2"/>
      <c r="I139" s="2"/>
    </row>
    <row r="140" spans="2:9" x14ac:dyDescent="0.2">
      <c r="B140" s="2"/>
      <c r="F140" s="2"/>
      <c r="I140" s="2"/>
    </row>
    <row r="141" spans="2:9" x14ac:dyDescent="0.2">
      <c r="B141" s="2"/>
      <c r="F141" s="2"/>
      <c r="I141" s="2"/>
    </row>
    <row r="142" spans="2:9" x14ac:dyDescent="0.2">
      <c r="B142" s="2"/>
      <c r="F142" s="2"/>
      <c r="I142" s="2"/>
    </row>
    <row r="143" spans="2:9" x14ac:dyDescent="0.2">
      <c r="B143" s="2"/>
      <c r="F143" s="2"/>
      <c r="I143" s="2"/>
    </row>
    <row r="144" spans="2:9" x14ac:dyDescent="0.2">
      <c r="B144" s="2"/>
      <c r="F144" s="2"/>
      <c r="I144" s="2"/>
    </row>
    <row r="145" spans="2:9" x14ac:dyDescent="0.2">
      <c r="B145" s="2"/>
      <c r="F145" s="2"/>
      <c r="I145" s="2"/>
    </row>
    <row r="146" spans="2:9" x14ac:dyDescent="0.2">
      <c r="B146" s="2"/>
      <c r="F146" s="2"/>
      <c r="I146" s="2"/>
    </row>
    <row r="147" spans="2:9" x14ac:dyDescent="0.2">
      <c r="B147" s="2"/>
      <c r="F147" s="2"/>
      <c r="I147" s="2"/>
    </row>
    <row r="148" spans="2:9" x14ac:dyDescent="0.2">
      <c r="B148" s="2"/>
      <c r="F148" s="2"/>
      <c r="I148" s="2"/>
    </row>
    <row r="149" spans="2:9" x14ac:dyDescent="0.2">
      <c r="B149" s="2"/>
      <c r="F149" s="2"/>
      <c r="I149" s="2"/>
    </row>
    <row r="150" spans="2:9" x14ac:dyDescent="0.2">
      <c r="B150" s="2"/>
      <c r="F150" s="2"/>
      <c r="I150" s="2"/>
    </row>
    <row r="151" spans="2:9" x14ac:dyDescent="0.2">
      <c r="B151" s="2"/>
      <c r="F151" s="2"/>
      <c r="I151" s="2"/>
    </row>
    <row r="152" spans="2:9" x14ac:dyDescent="0.2">
      <c r="B152" s="2"/>
      <c r="F152" s="2"/>
      <c r="I152" s="2"/>
    </row>
    <row r="153" spans="2:9" x14ac:dyDescent="0.2">
      <c r="B153" s="2"/>
      <c r="F153" s="2"/>
      <c r="I153" s="2"/>
    </row>
    <row r="154" spans="2:9" x14ac:dyDescent="0.2">
      <c r="B154" s="2"/>
      <c r="F154" s="2"/>
      <c r="I154" s="2"/>
    </row>
    <row r="155" spans="2:9" x14ac:dyDescent="0.2">
      <c r="B155" s="2"/>
      <c r="F155" s="2"/>
      <c r="I155" s="2"/>
    </row>
    <row r="156" spans="2:9" x14ac:dyDescent="0.2">
      <c r="B156" s="2"/>
      <c r="F156" s="2"/>
      <c r="I156" s="2"/>
    </row>
    <row r="157" spans="2:9" x14ac:dyDescent="0.2">
      <c r="B157" s="2"/>
      <c r="F157" s="2"/>
      <c r="I157" s="2"/>
    </row>
    <row r="158" spans="2:9" x14ac:dyDescent="0.2">
      <c r="B158" s="2"/>
      <c r="F158" s="2"/>
      <c r="I158" s="2"/>
    </row>
    <row r="159" spans="2:9" x14ac:dyDescent="0.2">
      <c r="B159" s="2"/>
      <c r="F159" s="2"/>
      <c r="I159" s="2"/>
    </row>
    <row r="160" spans="2:9" x14ac:dyDescent="0.2">
      <c r="B160" s="2"/>
      <c r="F160" s="2"/>
      <c r="I160" s="2"/>
    </row>
    <row r="161" spans="2:9" x14ac:dyDescent="0.2">
      <c r="B161" s="2"/>
      <c r="F161" s="2"/>
      <c r="I161" s="2"/>
    </row>
    <row r="162" spans="2:9" x14ac:dyDescent="0.2">
      <c r="B162" s="2"/>
      <c r="F162" s="2"/>
      <c r="I162" s="2"/>
    </row>
    <row r="163" spans="2:9" x14ac:dyDescent="0.2">
      <c r="B163" s="2"/>
      <c r="F163" s="2"/>
      <c r="I163" s="2"/>
    </row>
    <row r="164" spans="2:9" x14ac:dyDescent="0.2">
      <c r="B164" s="2"/>
      <c r="F164" s="2"/>
      <c r="I164" s="2"/>
    </row>
    <row r="165" spans="2:9" x14ac:dyDescent="0.2">
      <c r="B165" s="2"/>
      <c r="F165" s="2"/>
      <c r="I165" s="2"/>
    </row>
    <row r="166" spans="2:9" x14ac:dyDescent="0.2">
      <c r="B166" s="2"/>
      <c r="F166" s="2"/>
      <c r="I166" s="2"/>
    </row>
    <row r="167" spans="2:9" x14ac:dyDescent="0.2">
      <c r="B167" s="2"/>
      <c r="F167" s="2"/>
      <c r="I167" s="2"/>
    </row>
    <row r="168" spans="2:9" x14ac:dyDescent="0.2">
      <c r="B168" s="2"/>
      <c r="F168" s="2"/>
      <c r="I168" s="2"/>
    </row>
    <row r="169" spans="2:9" x14ac:dyDescent="0.2">
      <c r="B169" s="2"/>
      <c r="F169" s="2"/>
      <c r="I169" s="2"/>
    </row>
    <row r="170" spans="2:9" x14ac:dyDescent="0.2">
      <c r="B170" s="2"/>
      <c r="F170" s="2"/>
      <c r="I170" s="2"/>
    </row>
    <row r="171" spans="2:9" x14ac:dyDescent="0.2">
      <c r="B171" s="2"/>
      <c r="F171" s="2"/>
      <c r="I171" s="2"/>
    </row>
    <row r="172" spans="2:9" x14ac:dyDescent="0.2">
      <c r="B172" s="2"/>
      <c r="F172" s="2"/>
      <c r="I172" s="2"/>
    </row>
    <row r="173" spans="2:9" x14ac:dyDescent="0.2">
      <c r="B173" s="2"/>
      <c r="F173" s="2"/>
      <c r="I173" s="2"/>
    </row>
    <row r="174" spans="2:9" x14ac:dyDescent="0.2">
      <c r="B174" s="2"/>
      <c r="F174" s="2"/>
      <c r="I174" s="2"/>
    </row>
    <row r="175" spans="2:9" x14ac:dyDescent="0.2">
      <c r="B175" s="2"/>
      <c r="F175" s="2"/>
      <c r="I175" s="2"/>
    </row>
    <row r="176" spans="2:9" x14ac:dyDescent="0.2">
      <c r="B176" s="2"/>
      <c r="F176" s="2"/>
      <c r="I176" s="2"/>
    </row>
    <row r="177" spans="2:9" x14ac:dyDescent="0.2">
      <c r="B177" s="2"/>
      <c r="F177" s="2"/>
      <c r="I177" s="2"/>
    </row>
    <row r="178" spans="2:9" x14ac:dyDescent="0.2">
      <c r="B178" s="2"/>
      <c r="F178" s="2"/>
      <c r="I178" s="2"/>
    </row>
    <row r="179" spans="2:9" x14ac:dyDescent="0.2">
      <c r="B179" s="2"/>
      <c r="F179" s="2"/>
      <c r="I179" s="2"/>
    </row>
    <row r="180" spans="2:9" x14ac:dyDescent="0.2">
      <c r="B180" s="2"/>
      <c r="F180" s="2"/>
      <c r="I180" s="2"/>
    </row>
    <row r="181" spans="2:9" x14ac:dyDescent="0.2">
      <c r="B181" s="2"/>
      <c r="F181" s="2"/>
      <c r="I181" s="2"/>
    </row>
    <row r="182" spans="2:9" x14ac:dyDescent="0.2">
      <c r="B182" s="2"/>
      <c r="F182" s="2"/>
      <c r="I182" s="2"/>
    </row>
    <row r="183" spans="2:9" x14ac:dyDescent="0.2">
      <c r="B183" s="2"/>
      <c r="F183" s="2"/>
      <c r="I183" s="2"/>
    </row>
    <row r="184" spans="2:9" x14ac:dyDescent="0.2">
      <c r="B184" s="2"/>
      <c r="F184" s="2"/>
      <c r="I184" s="2"/>
    </row>
    <row r="185" spans="2:9" x14ac:dyDescent="0.2">
      <c r="B185" s="2"/>
      <c r="F185" s="2"/>
      <c r="I185" s="2"/>
    </row>
    <row r="186" spans="2:9" x14ac:dyDescent="0.2">
      <c r="B186" s="2"/>
      <c r="F186" s="2"/>
      <c r="I186" s="2"/>
    </row>
    <row r="187" spans="2:9" x14ac:dyDescent="0.2">
      <c r="B187" s="2"/>
      <c r="F187" s="2"/>
      <c r="I187" s="2"/>
    </row>
    <row r="188" spans="2:9" x14ac:dyDescent="0.2">
      <c r="B188" s="2"/>
      <c r="F188" s="2"/>
      <c r="I188" s="2"/>
    </row>
    <row r="189" spans="2:9" x14ac:dyDescent="0.2">
      <c r="B189" s="2"/>
      <c r="F189" s="2"/>
      <c r="I189" s="2"/>
    </row>
    <row r="190" spans="2:9" x14ac:dyDescent="0.2">
      <c r="B190" s="2"/>
      <c r="F190" s="2"/>
      <c r="I190" s="2"/>
    </row>
    <row r="191" spans="2:9" x14ac:dyDescent="0.2">
      <c r="B191" s="2"/>
      <c r="F191" s="2"/>
      <c r="I191" s="2"/>
    </row>
    <row r="192" spans="2:9" x14ac:dyDescent="0.2">
      <c r="B192" s="2"/>
      <c r="F192" s="2"/>
      <c r="I192" s="2"/>
    </row>
    <row r="193" spans="2:9" x14ac:dyDescent="0.2">
      <c r="B193" s="2"/>
      <c r="F193" s="2"/>
      <c r="I193" s="2"/>
    </row>
    <row r="194" spans="2:9" x14ac:dyDescent="0.2">
      <c r="B194" s="2"/>
      <c r="F194" s="2"/>
      <c r="I194" s="2"/>
    </row>
    <row r="195" spans="2:9" x14ac:dyDescent="0.2">
      <c r="B195" s="2"/>
      <c r="F195" s="2"/>
      <c r="I195" s="2"/>
    </row>
    <row r="196" spans="2:9" x14ac:dyDescent="0.2">
      <c r="B196" s="2"/>
      <c r="F196" s="2"/>
      <c r="I196" s="2"/>
    </row>
    <row r="197" spans="2:9" x14ac:dyDescent="0.2">
      <c r="B197" s="2"/>
      <c r="F197" s="2"/>
      <c r="I197" s="2"/>
    </row>
    <row r="198" spans="2:9" x14ac:dyDescent="0.2">
      <c r="B198" s="2"/>
      <c r="F198" s="2"/>
      <c r="I198" s="2"/>
    </row>
    <row r="199" spans="2:9" x14ac:dyDescent="0.2">
      <c r="B199" s="2"/>
      <c r="F199" s="2"/>
      <c r="I199" s="2"/>
    </row>
    <row r="200" spans="2:9" x14ac:dyDescent="0.2">
      <c r="B200" s="2"/>
      <c r="F200" s="2"/>
      <c r="I200" s="2"/>
    </row>
    <row r="201" spans="2:9" x14ac:dyDescent="0.2">
      <c r="B201" s="2"/>
      <c r="F201" s="2"/>
      <c r="I201" s="2"/>
    </row>
    <row r="202" spans="2:9" x14ac:dyDescent="0.2">
      <c r="B202" s="2"/>
      <c r="F202" s="2"/>
      <c r="I202" s="2"/>
    </row>
    <row r="203" spans="2:9" x14ac:dyDescent="0.2">
      <c r="B203" s="2"/>
      <c r="F203" s="2"/>
      <c r="I203" s="2"/>
    </row>
    <row r="204" spans="2:9" x14ac:dyDescent="0.2">
      <c r="B204" s="2"/>
      <c r="F204" s="2"/>
      <c r="I204" s="2"/>
    </row>
    <row r="205" spans="2:9" x14ac:dyDescent="0.2">
      <c r="B205" s="2"/>
      <c r="F205" s="2"/>
      <c r="I205" s="2"/>
    </row>
    <row r="206" spans="2:9" x14ac:dyDescent="0.2">
      <c r="B206" s="2"/>
      <c r="F206" s="2"/>
      <c r="I206" s="2"/>
    </row>
    <row r="207" spans="2:9" x14ac:dyDescent="0.2">
      <c r="B207" s="2"/>
      <c r="F207" s="2"/>
      <c r="I207" s="2"/>
    </row>
    <row r="208" spans="2:9" x14ac:dyDescent="0.2">
      <c r="B208" s="2"/>
      <c r="F208" s="2"/>
      <c r="I208" s="2"/>
    </row>
    <row r="209" spans="2:9" x14ac:dyDescent="0.2">
      <c r="B209" s="2"/>
      <c r="F209" s="2"/>
      <c r="I209" s="2"/>
    </row>
    <row r="210" spans="2:9" x14ac:dyDescent="0.2">
      <c r="B210" s="2"/>
      <c r="F210" s="2"/>
      <c r="I210" s="2"/>
    </row>
    <row r="211" spans="2:9" x14ac:dyDescent="0.2">
      <c r="B211" s="2"/>
      <c r="F211" s="2"/>
      <c r="I211" s="2"/>
    </row>
    <row r="212" spans="2:9" x14ac:dyDescent="0.2">
      <c r="B212" s="2"/>
      <c r="F212" s="2"/>
      <c r="I212" s="2"/>
    </row>
    <row r="213" spans="2:9" x14ac:dyDescent="0.2">
      <c r="B213" s="2"/>
      <c r="F213" s="2"/>
      <c r="I213" s="2"/>
    </row>
    <row r="214" spans="2:9" x14ac:dyDescent="0.2">
      <c r="B214" s="2"/>
      <c r="F214" s="2"/>
      <c r="I214" s="2"/>
    </row>
    <row r="215" spans="2:9" x14ac:dyDescent="0.2">
      <c r="B215" s="2"/>
      <c r="F215" s="2"/>
      <c r="I215" s="2"/>
    </row>
    <row r="216" spans="2:9" x14ac:dyDescent="0.2">
      <c r="B216" s="2"/>
      <c r="F216" s="2"/>
      <c r="I216" s="2"/>
    </row>
    <row r="217" spans="2:9" x14ac:dyDescent="0.2">
      <c r="B217" s="2"/>
      <c r="F217" s="2"/>
      <c r="I217" s="2"/>
    </row>
    <row r="218" spans="2:9" x14ac:dyDescent="0.2">
      <c r="B218" s="2"/>
      <c r="F218" s="2"/>
      <c r="I218" s="2"/>
    </row>
    <row r="219" spans="2:9" x14ac:dyDescent="0.2">
      <c r="B219" s="2"/>
      <c r="F219" s="2"/>
      <c r="I219" s="2"/>
    </row>
    <row r="220" spans="2:9" x14ac:dyDescent="0.2">
      <c r="B220" s="2"/>
      <c r="F220" s="2"/>
      <c r="I220" s="2"/>
    </row>
    <row r="221" spans="2:9" x14ac:dyDescent="0.2">
      <c r="B221" s="2"/>
      <c r="F221" s="2"/>
      <c r="I221" s="2"/>
    </row>
    <row r="222" spans="2:9" x14ac:dyDescent="0.2">
      <c r="B222" s="2"/>
      <c r="F222" s="2"/>
      <c r="I222" s="2"/>
    </row>
    <row r="223" spans="2:9" x14ac:dyDescent="0.2">
      <c r="B223" s="2"/>
      <c r="F223" s="2"/>
      <c r="I223" s="2"/>
    </row>
    <row r="224" spans="2:9" x14ac:dyDescent="0.2">
      <c r="B224" s="2"/>
      <c r="F224" s="2"/>
      <c r="I224" s="2"/>
    </row>
    <row r="225" spans="2:9" x14ac:dyDescent="0.2">
      <c r="B225" s="2"/>
      <c r="F225" s="2"/>
      <c r="I225" s="2"/>
    </row>
    <row r="226" spans="2:9" x14ac:dyDescent="0.2">
      <c r="B226" s="2"/>
      <c r="F226" s="2"/>
      <c r="I226" s="2"/>
    </row>
    <row r="227" spans="2:9" x14ac:dyDescent="0.2">
      <c r="B227" s="2"/>
      <c r="F227" s="2"/>
      <c r="I227" s="2"/>
    </row>
    <row r="228" spans="2:9" x14ac:dyDescent="0.2">
      <c r="B228" s="2"/>
      <c r="F228" s="2"/>
      <c r="I228" s="2"/>
    </row>
    <row r="229" spans="2:9" x14ac:dyDescent="0.2">
      <c r="B229" s="2"/>
      <c r="F229" s="2"/>
      <c r="I229" s="2"/>
    </row>
    <row r="230" spans="2:9" x14ac:dyDescent="0.2">
      <c r="B230" s="2"/>
      <c r="F230" s="2"/>
      <c r="I230" s="2"/>
    </row>
    <row r="231" spans="2:9" x14ac:dyDescent="0.2">
      <c r="B231" s="2"/>
      <c r="F231" s="2"/>
      <c r="I231" s="2"/>
    </row>
    <row r="232" spans="2:9" x14ac:dyDescent="0.2">
      <c r="B232" s="2"/>
      <c r="F232" s="2"/>
      <c r="I232" s="2"/>
    </row>
    <row r="233" spans="2:9" x14ac:dyDescent="0.2">
      <c r="B233" s="2"/>
      <c r="F233" s="2"/>
      <c r="I233" s="2"/>
    </row>
    <row r="234" spans="2:9" x14ac:dyDescent="0.2">
      <c r="B234" s="2"/>
      <c r="F234" s="2"/>
      <c r="I234" s="2"/>
    </row>
    <row r="235" spans="2:9" x14ac:dyDescent="0.2">
      <c r="B235" s="2"/>
      <c r="F235" s="2"/>
      <c r="I235" s="2"/>
    </row>
    <row r="236" spans="2:9" x14ac:dyDescent="0.2">
      <c r="B236" s="2"/>
      <c r="F236" s="2"/>
      <c r="I236" s="2"/>
    </row>
    <row r="237" spans="2:9" x14ac:dyDescent="0.2">
      <c r="B237" s="2"/>
      <c r="F237" s="2"/>
      <c r="I237" s="2"/>
    </row>
    <row r="238" spans="2:9" x14ac:dyDescent="0.2">
      <c r="B238" s="2"/>
      <c r="F238" s="2"/>
      <c r="I238" s="2"/>
    </row>
    <row r="239" spans="2:9" x14ac:dyDescent="0.2">
      <c r="B239" s="2"/>
      <c r="F239" s="2"/>
      <c r="I239" s="2"/>
    </row>
    <row r="240" spans="2:9" x14ac:dyDescent="0.2">
      <c r="B240" s="2"/>
      <c r="F240" s="2"/>
      <c r="I240" s="2"/>
    </row>
    <row r="241" spans="2:9" x14ac:dyDescent="0.2">
      <c r="B241" s="2"/>
      <c r="F241" s="2"/>
      <c r="I241" s="2"/>
    </row>
    <row r="242" spans="2:9" x14ac:dyDescent="0.2">
      <c r="B242" s="2"/>
      <c r="F242" s="2"/>
      <c r="I242" s="2"/>
    </row>
    <row r="243" spans="2:9" x14ac:dyDescent="0.2">
      <c r="B243" s="2"/>
      <c r="F243" s="2"/>
      <c r="I243" s="2"/>
    </row>
    <row r="244" spans="2:9" x14ac:dyDescent="0.2">
      <c r="B244" s="2"/>
      <c r="F244" s="2"/>
      <c r="I244" s="2"/>
    </row>
    <row r="245" spans="2:9" x14ac:dyDescent="0.2">
      <c r="B245" s="2"/>
      <c r="F245" s="2"/>
      <c r="I245" s="2"/>
    </row>
    <row r="246" spans="2:9" x14ac:dyDescent="0.2">
      <c r="B246" s="2"/>
      <c r="F246" s="2"/>
      <c r="I246" s="2"/>
    </row>
    <row r="247" spans="2:9" x14ac:dyDescent="0.2">
      <c r="B247" s="2"/>
      <c r="F247" s="2"/>
      <c r="I247" s="2"/>
    </row>
    <row r="248" spans="2:9" x14ac:dyDescent="0.2">
      <c r="B248" s="2"/>
      <c r="F248" s="2"/>
      <c r="I248" s="2"/>
    </row>
    <row r="249" spans="2:9" x14ac:dyDescent="0.2">
      <c r="B249" s="2"/>
      <c r="F249" s="2"/>
      <c r="I249" s="2"/>
    </row>
    <row r="250" spans="2:9" x14ac:dyDescent="0.2">
      <c r="B250" s="2"/>
      <c r="F250" s="2"/>
      <c r="I250" s="2"/>
    </row>
    <row r="251" spans="2:9" x14ac:dyDescent="0.2">
      <c r="B251" s="2"/>
      <c r="F251" s="2"/>
      <c r="I251" s="2"/>
    </row>
    <row r="252" spans="2:9" x14ac:dyDescent="0.2">
      <c r="B252" s="2"/>
      <c r="F252" s="2"/>
      <c r="I252" s="2"/>
    </row>
    <row r="253" spans="2:9" x14ac:dyDescent="0.2">
      <c r="B253" s="2"/>
      <c r="F253" s="2"/>
      <c r="I253" s="2"/>
    </row>
    <row r="254" spans="2:9" x14ac:dyDescent="0.2">
      <c r="B254" s="2"/>
      <c r="F254" s="2"/>
      <c r="I254" s="2"/>
    </row>
    <row r="255" spans="2:9" x14ac:dyDescent="0.2">
      <c r="B255" s="2"/>
      <c r="F255" s="2"/>
      <c r="I255" s="2"/>
    </row>
    <row r="256" spans="2:9" x14ac:dyDescent="0.2">
      <c r="B256" s="2"/>
      <c r="F256" s="2"/>
      <c r="I256" s="2"/>
    </row>
    <row r="257" spans="2:9" x14ac:dyDescent="0.2">
      <c r="B257" s="2"/>
      <c r="F257" s="2"/>
      <c r="I257" s="2"/>
    </row>
    <row r="258" spans="2:9" x14ac:dyDescent="0.2">
      <c r="B258" s="2"/>
      <c r="F258" s="2"/>
      <c r="I258" s="2"/>
    </row>
    <row r="259" spans="2:9" x14ac:dyDescent="0.2">
      <c r="B259" s="2"/>
      <c r="F259" s="2"/>
      <c r="I259" s="2"/>
    </row>
    <row r="260" spans="2:9" x14ac:dyDescent="0.2">
      <c r="B260" s="2"/>
      <c r="F260" s="2"/>
      <c r="I260" s="2"/>
    </row>
    <row r="261" spans="2:9" x14ac:dyDescent="0.2">
      <c r="B261" s="2"/>
      <c r="F261" s="2"/>
      <c r="I261" s="2"/>
    </row>
    <row r="262" spans="2:9" x14ac:dyDescent="0.2">
      <c r="B262" s="2"/>
      <c r="F262" s="2"/>
      <c r="I262" s="2"/>
    </row>
    <row r="263" spans="2:9" x14ac:dyDescent="0.2">
      <c r="B263" s="2"/>
      <c r="F263" s="2"/>
      <c r="I263" s="2"/>
    </row>
    <row r="264" spans="2:9" x14ac:dyDescent="0.2">
      <c r="B264" s="2"/>
      <c r="F264" s="2"/>
      <c r="I264" s="2"/>
    </row>
    <row r="265" spans="2:9" x14ac:dyDescent="0.2">
      <c r="B265" s="2"/>
      <c r="F265" s="2"/>
      <c r="I265" s="2"/>
    </row>
    <row r="266" spans="2:9" x14ac:dyDescent="0.2">
      <c r="B266" s="2"/>
      <c r="F266" s="2"/>
      <c r="I266" s="2"/>
    </row>
    <row r="267" spans="2:9" x14ac:dyDescent="0.2">
      <c r="B267" s="2"/>
      <c r="F267" s="2"/>
      <c r="I267" s="2"/>
    </row>
    <row r="268" spans="2:9" x14ac:dyDescent="0.2">
      <c r="B268" s="2"/>
      <c r="F268" s="2"/>
      <c r="I268" s="2"/>
    </row>
    <row r="269" spans="2:9" x14ac:dyDescent="0.2">
      <c r="B269" s="2"/>
      <c r="F269" s="2"/>
      <c r="I269" s="2"/>
    </row>
    <row r="270" spans="2:9" x14ac:dyDescent="0.2">
      <c r="B270" s="2"/>
      <c r="F270" s="2"/>
      <c r="I270" s="2"/>
    </row>
    <row r="271" spans="2:9" x14ac:dyDescent="0.2">
      <c r="B271" s="2"/>
      <c r="F271" s="2"/>
      <c r="I271" s="2"/>
    </row>
    <row r="272" spans="2:9" x14ac:dyDescent="0.2">
      <c r="B272" s="2"/>
      <c r="F272" s="2"/>
      <c r="I272" s="2"/>
    </row>
    <row r="273" spans="2:9" x14ac:dyDescent="0.2">
      <c r="B273" s="2"/>
      <c r="F273" s="2"/>
      <c r="I273" s="2"/>
    </row>
    <row r="274" spans="2:9" x14ac:dyDescent="0.2">
      <c r="B274" s="2"/>
      <c r="F274" s="2"/>
      <c r="I274" s="2"/>
    </row>
    <row r="275" spans="2:9" x14ac:dyDescent="0.2">
      <c r="B275" s="2"/>
      <c r="F275" s="2"/>
      <c r="I275" s="2"/>
    </row>
    <row r="276" spans="2:9" x14ac:dyDescent="0.2">
      <c r="B276" s="2"/>
      <c r="F276" s="2"/>
      <c r="I276" s="2"/>
    </row>
    <row r="277" spans="2:9" x14ac:dyDescent="0.2">
      <c r="B277" s="2"/>
      <c r="F277" s="2"/>
      <c r="I277" s="2"/>
    </row>
    <row r="278" spans="2:9" x14ac:dyDescent="0.2">
      <c r="B278" s="2"/>
      <c r="F278" s="2"/>
      <c r="I278" s="2"/>
    </row>
    <row r="279" spans="2:9" x14ac:dyDescent="0.2">
      <c r="B279" s="2"/>
      <c r="F279" s="2"/>
      <c r="I279" s="2"/>
    </row>
    <row r="280" spans="2:9" x14ac:dyDescent="0.2">
      <c r="B280" s="2"/>
      <c r="F280" s="2"/>
      <c r="I280" s="2"/>
    </row>
    <row r="281" spans="2:9" x14ac:dyDescent="0.2">
      <c r="B281" s="2"/>
      <c r="F281" s="2"/>
      <c r="I281" s="2"/>
    </row>
    <row r="282" spans="2:9" x14ac:dyDescent="0.2">
      <c r="B282" s="2"/>
      <c r="F282" s="2"/>
      <c r="I282" s="2"/>
    </row>
    <row r="283" spans="2:9" x14ac:dyDescent="0.2">
      <c r="B283" s="2"/>
      <c r="F283" s="2"/>
      <c r="I283" s="2"/>
    </row>
    <row r="284" spans="2:9" x14ac:dyDescent="0.2">
      <c r="B284" s="2"/>
      <c r="F284" s="2"/>
      <c r="I284" s="2"/>
    </row>
    <row r="285" spans="2:9" x14ac:dyDescent="0.2">
      <c r="B285" s="2"/>
      <c r="F285" s="2"/>
      <c r="I285" s="2"/>
    </row>
    <row r="286" spans="2:9" x14ac:dyDescent="0.2">
      <c r="B286" s="2"/>
      <c r="F286" s="2"/>
      <c r="I286" s="2"/>
    </row>
    <row r="287" spans="2:9" x14ac:dyDescent="0.2">
      <c r="B287" s="2"/>
      <c r="F287" s="2"/>
      <c r="I287" s="2"/>
    </row>
    <row r="288" spans="2:9" x14ac:dyDescent="0.2">
      <c r="B288" s="2"/>
      <c r="F288" s="2"/>
      <c r="I288" s="2"/>
    </row>
    <row r="289" spans="2:9" x14ac:dyDescent="0.2">
      <c r="B289" s="2"/>
      <c r="F289" s="2"/>
      <c r="I289" s="2"/>
    </row>
    <row r="290" spans="2:9" x14ac:dyDescent="0.2">
      <c r="B290" s="2"/>
      <c r="F290" s="2"/>
      <c r="I290" s="2"/>
    </row>
    <row r="291" spans="2:9" x14ac:dyDescent="0.2">
      <c r="B291" s="2"/>
      <c r="F291" s="2"/>
      <c r="I291" s="2"/>
    </row>
    <row r="292" spans="2:9" x14ac:dyDescent="0.2">
      <c r="B292" s="2"/>
      <c r="F292" s="2"/>
      <c r="I292" s="2"/>
    </row>
    <row r="293" spans="2:9" x14ac:dyDescent="0.2">
      <c r="B293" s="2"/>
      <c r="F293" s="2"/>
      <c r="I293" s="2"/>
    </row>
    <row r="294" spans="2:9" x14ac:dyDescent="0.2">
      <c r="B294" s="2"/>
      <c r="F294" s="2"/>
      <c r="I294" s="2"/>
    </row>
    <row r="295" spans="2:9" x14ac:dyDescent="0.2">
      <c r="B295" s="2"/>
      <c r="F295" s="2"/>
      <c r="I295" s="2"/>
    </row>
    <row r="296" spans="2:9" x14ac:dyDescent="0.2">
      <c r="B296" s="2"/>
      <c r="F296" s="2"/>
      <c r="I296" s="2"/>
    </row>
    <row r="297" spans="2:9" x14ac:dyDescent="0.2">
      <c r="B297" s="2"/>
      <c r="F297" s="2"/>
      <c r="I297" s="2"/>
    </row>
    <row r="298" spans="2:9" x14ac:dyDescent="0.2">
      <c r="B298" s="2"/>
      <c r="F298" s="2"/>
      <c r="I298" s="2"/>
    </row>
    <row r="299" spans="2:9" x14ac:dyDescent="0.2">
      <c r="B299" s="2"/>
      <c r="F299" s="2"/>
      <c r="I299" s="2"/>
    </row>
    <row r="300" spans="2:9" x14ac:dyDescent="0.2">
      <c r="B300" s="2"/>
      <c r="F300" s="2"/>
      <c r="I300" s="2"/>
    </row>
    <row r="301" spans="2:9" x14ac:dyDescent="0.2">
      <c r="B301" s="2"/>
      <c r="F301" s="2"/>
      <c r="I301" s="2"/>
    </row>
    <row r="302" spans="2:9" x14ac:dyDescent="0.2">
      <c r="B302" s="2"/>
      <c r="F302" s="2"/>
      <c r="I302" s="2"/>
    </row>
    <row r="303" spans="2:9" x14ac:dyDescent="0.2">
      <c r="B303" s="2"/>
      <c r="F303" s="2"/>
      <c r="I303" s="2"/>
    </row>
    <row r="304" spans="2:9" x14ac:dyDescent="0.2">
      <c r="B304" s="2"/>
      <c r="F304" s="2"/>
      <c r="I304" s="2"/>
    </row>
    <row r="305" spans="2:9" x14ac:dyDescent="0.2">
      <c r="B305" s="2"/>
      <c r="F305" s="2"/>
      <c r="I305" s="2"/>
    </row>
    <row r="306" spans="2:9" x14ac:dyDescent="0.2">
      <c r="B306" s="2"/>
      <c r="F306" s="2"/>
      <c r="I306" s="2"/>
    </row>
    <row r="307" spans="2:9" x14ac:dyDescent="0.2">
      <c r="B307" s="2"/>
      <c r="F307" s="2"/>
      <c r="I307" s="2"/>
    </row>
    <row r="308" spans="2:9" x14ac:dyDescent="0.2">
      <c r="B308" s="2"/>
      <c r="F308" s="2"/>
      <c r="I308" s="2"/>
    </row>
    <row r="309" spans="2:9" x14ac:dyDescent="0.2">
      <c r="B309" s="2"/>
      <c r="F309" s="2"/>
      <c r="I309" s="2"/>
    </row>
    <row r="310" spans="2:9" x14ac:dyDescent="0.2">
      <c r="B310" s="2"/>
      <c r="F310" s="2"/>
      <c r="I310" s="2"/>
    </row>
    <row r="311" spans="2:9" x14ac:dyDescent="0.2">
      <c r="B311" s="2"/>
      <c r="F311" s="2"/>
      <c r="I311" s="2"/>
    </row>
    <row r="312" spans="2:9" x14ac:dyDescent="0.2">
      <c r="B312" s="2"/>
      <c r="F312" s="2"/>
      <c r="I312" s="2"/>
    </row>
    <row r="313" spans="2:9" x14ac:dyDescent="0.2">
      <c r="B313" s="2"/>
      <c r="F313" s="2"/>
      <c r="I313" s="2"/>
    </row>
    <row r="314" spans="2:9" x14ac:dyDescent="0.2">
      <c r="B314" s="2"/>
      <c r="F314" s="2"/>
      <c r="I314" s="2"/>
    </row>
    <row r="315" spans="2:9" x14ac:dyDescent="0.2">
      <c r="B315" s="2"/>
      <c r="F315" s="2"/>
      <c r="I315" s="2"/>
    </row>
    <row r="316" spans="2:9" x14ac:dyDescent="0.2">
      <c r="B316" s="2"/>
      <c r="F316" s="2"/>
      <c r="I316" s="2"/>
    </row>
    <row r="317" spans="2:9" x14ac:dyDescent="0.2">
      <c r="B317" s="2"/>
      <c r="F317" s="2"/>
      <c r="I317" s="2"/>
    </row>
    <row r="318" spans="2:9" x14ac:dyDescent="0.2">
      <c r="B318" s="2"/>
      <c r="F318" s="2"/>
      <c r="I318" s="2"/>
    </row>
    <row r="319" spans="2:9" x14ac:dyDescent="0.2">
      <c r="B319" s="2"/>
      <c r="F319" s="2"/>
      <c r="I319" s="2"/>
    </row>
    <row r="320" spans="2:9" x14ac:dyDescent="0.2">
      <c r="B320" s="2"/>
      <c r="F320" s="2"/>
      <c r="I320" s="2"/>
    </row>
    <row r="321" spans="2:9" x14ac:dyDescent="0.2">
      <c r="B321" s="2"/>
      <c r="F321" s="2"/>
      <c r="I321" s="2"/>
    </row>
    <row r="322" spans="2:9" x14ac:dyDescent="0.2">
      <c r="B322" s="2"/>
      <c r="F322" s="2"/>
      <c r="I322" s="2"/>
    </row>
    <row r="323" spans="2:9" x14ac:dyDescent="0.2">
      <c r="B323" s="2"/>
      <c r="F323" s="2"/>
      <c r="I323" s="2"/>
    </row>
    <row r="324" spans="2:9" x14ac:dyDescent="0.2">
      <c r="B324" s="2"/>
      <c r="F324" s="2"/>
      <c r="I324" s="2"/>
    </row>
    <row r="325" spans="2:9" x14ac:dyDescent="0.2">
      <c r="B325" s="2"/>
      <c r="F325" s="2"/>
      <c r="I325" s="2"/>
    </row>
    <row r="326" spans="2:9" x14ac:dyDescent="0.2">
      <c r="B326" s="2"/>
      <c r="F326" s="2"/>
      <c r="I326" s="2"/>
    </row>
    <row r="327" spans="2:9" x14ac:dyDescent="0.2">
      <c r="B327" s="2"/>
      <c r="F327" s="2"/>
      <c r="I327" s="2"/>
    </row>
    <row r="328" spans="2:9" x14ac:dyDescent="0.2">
      <c r="B328" s="2"/>
      <c r="F328" s="2"/>
      <c r="I328" s="2"/>
    </row>
    <row r="329" spans="2:9" x14ac:dyDescent="0.2">
      <c r="B329" s="2"/>
      <c r="F329" s="2"/>
      <c r="I329" s="2"/>
    </row>
    <row r="330" spans="2:9" x14ac:dyDescent="0.2">
      <c r="B330" s="2"/>
      <c r="F330" s="2"/>
      <c r="I330" s="2"/>
    </row>
    <row r="331" spans="2:9" x14ac:dyDescent="0.2">
      <c r="B331" s="2"/>
      <c r="F331" s="2"/>
      <c r="I331" s="2"/>
    </row>
    <row r="332" spans="2:9" x14ac:dyDescent="0.2">
      <c r="B332" s="2"/>
      <c r="F332" s="2"/>
      <c r="I332" s="2"/>
    </row>
    <row r="333" spans="2:9" x14ac:dyDescent="0.2">
      <c r="B333" s="2"/>
      <c r="F333" s="2"/>
      <c r="I333" s="2"/>
    </row>
    <row r="334" spans="2:9" x14ac:dyDescent="0.2">
      <c r="B334" s="2"/>
      <c r="F334" s="2"/>
      <c r="I334" s="2"/>
    </row>
    <row r="335" spans="2:9" x14ac:dyDescent="0.2">
      <c r="B335" s="2"/>
      <c r="F335" s="2"/>
      <c r="I335" s="2"/>
    </row>
    <row r="336" spans="2:9" x14ac:dyDescent="0.2">
      <c r="B336" s="2"/>
      <c r="F336" s="2"/>
      <c r="I336" s="2"/>
    </row>
    <row r="337" spans="2:9" x14ac:dyDescent="0.2">
      <c r="B337" s="2"/>
      <c r="F337" s="2"/>
      <c r="I337" s="2"/>
    </row>
    <row r="338" spans="2:9" x14ac:dyDescent="0.2">
      <c r="B338" s="2"/>
      <c r="F338" s="2"/>
      <c r="I338" s="2"/>
    </row>
    <row r="339" spans="2:9" x14ac:dyDescent="0.2">
      <c r="B339" s="2"/>
      <c r="F339" s="2"/>
      <c r="I339" s="2"/>
    </row>
    <row r="340" spans="2:9" x14ac:dyDescent="0.2">
      <c r="B340" s="2"/>
      <c r="F340" s="2"/>
      <c r="I340" s="2"/>
    </row>
    <row r="341" spans="2:9" x14ac:dyDescent="0.2">
      <c r="B341" s="2"/>
      <c r="F341" s="2"/>
      <c r="I341" s="2"/>
    </row>
    <row r="342" spans="2:9" x14ac:dyDescent="0.2">
      <c r="B342" s="2"/>
      <c r="F342" s="2"/>
      <c r="I342" s="2"/>
    </row>
    <row r="343" spans="2:9" x14ac:dyDescent="0.2">
      <c r="B343" s="2"/>
      <c r="F343" s="2"/>
      <c r="I343" s="2"/>
    </row>
    <row r="344" spans="2:9" x14ac:dyDescent="0.2">
      <c r="B344" s="2"/>
      <c r="F344" s="2"/>
      <c r="I344" s="2"/>
    </row>
    <row r="345" spans="2:9" x14ac:dyDescent="0.2">
      <c r="B345" s="2"/>
      <c r="F345" s="2"/>
      <c r="I345" s="2"/>
    </row>
    <row r="346" spans="2:9" x14ac:dyDescent="0.2">
      <c r="B346" s="2"/>
      <c r="F346" s="2"/>
      <c r="I346" s="2"/>
    </row>
    <row r="347" spans="2:9" x14ac:dyDescent="0.2">
      <c r="B347" s="2"/>
      <c r="F347" s="2"/>
      <c r="I347" s="2"/>
    </row>
    <row r="348" spans="2:9" x14ac:dyDescent="0.2">
      <c r="B348" s="2"/>
      <c r="F348" s="2"/>
      <c r="I348" s="2"/>
    </row>
    <row r="349" spans="2:9" x14ac:dyDescent="0.2">
      <c r="B349" s="2"/>
      <c r="F349" s="2"/>
      <c r="I349" s="2"/>
    </row>
    <row r="350" spans="2:9" x14ac:dyDescent="0.2">
      <c r="B350" s="2"/>
      <c r="F350" s="2"/>
      <c r="I350" s="2"/>
    </row>
    <row r="351" spans="2:9" x14ac:dyDescent="0.2">
      <c r="B351" s="2"/>
      <c r="F351" s="2"/>
      <c r="I351" s="2"/>
    </row>
    <row r="352" spans="2:9" x14ac:dyDescent="0.2">
      <c r="B352" s="2"/>
      <c r="F352" s="2"/>
      <c r="I352" s="2"/>
    </row>
    <row r="353" spans="2:9" x14ac:dyDescent="0.2">
      <c r="B353" s="2"/>
      <c r="F353" s="2"/>
      <c r="I353" s="2"/>
    </row>
    <row r="354" spans="2:9" x14ac:dyDescent="0.2">
      <c r="B354" s="2"/>
      <c r="F354" s="2"/>
      <c r="I354" s="2"/>
    </row>
    <row r="355" spans="2:9" x14ac:dyDescent="0.2">
      <c r="B355" s="2"/>
      <c r="F355" s="2"/>
      <c r="I355" s="2"/>
    </row>
    <row r="356" spans="2:9" x14ac:dyDescent="0.2">
      <c r="B356" s="2"/>
      <c r="F356" s="2"/>
      <c r="I356" s="2"/>
    </row>
    <row r="357" spans="2:9" x14ac:dyDescent="0.2">
      <c r="B357" s="2"/>
      <c r="F357" s="2"/>
      <c r="I357" s="2"/>
    </row>
    <row r="358" spans="2:9" x14ac:dyDescent="0.2">
      <c r="B358" s="2"/>
      <c r="F358" s="2"/>
      <c r="I358" s="2"/>
    </row>
    <row r="359" spans="2:9" x14ac:dyDescent="0.2">
      <c r="B359" s="2"/>
      <c r="F359" s="2"/>
      <c r="I359" s="2"/>
    </row>
    <row r="360" spans="2:9" x14ac:dyDescent="0.2">
      <c r="B360" s="2"/>
      <c r="F360" s="2"/>
      <c r="I360" s="2"/>
    </row>
    <row r="361" spans="2:9" x14ac:dyDescent="0.2">
      <c r="B361" s="2"/>
      <c r="F361" s="2"/>
      <c r="I361" s="2"/>
    </row>
    <row r="362" spans="2:9" x14ac:dyDescent="0.2">
      <c r="B362" s="2"/>
      <c r="F362" s="2"/>
      <c r="I362" s="2"/>
    </row>
    <row r="363" spans="2:9" x14ac:dyDescent="0.2">
      <c r="B363" s="2"/>
      <c r="F363" s="2"/>
      <c r="I363" s="2"/>
    </row>
    <row r="364" spans="2:9" x14ac:dyDescent="0.2">
      <c r="B364" s="2"/>
      <c r="F364" s="2"/>
      <c r="I364" s="2"/>
    </row>
    <row r="365" spans="2:9" x14ac:dyDescent="0.2">
      <c r="B365" s="2"/>
      <c r="F365" s="2"/>
      <c r="I365" s="2"/>
    </row>
    <row r="366" spans="2:9" x14ac:dyDescent="0.2">
      <c r="B366" s="2"/>
      <c r="F366" s="2"/>
      <c r="I366" s="2"/>
    </row>
    <row r="367" spans="2:9" x14ac:dyDescent="0.2">
      <c r="B367" s="2"/>
      <c r="F367" s="2"/>
      <c r="I367" s="2"/>
    </row>
    <row r="368" spans="2:9" x14ac:dyDescent="0.2">
      <c r="B368" s="2"/>
      <c r="F368" s="2"/>
      <c r="I368" s="2"/>
    </row>
    <row r="369" spans="2:9" x14ac:dyDescent="0.2">
      <c r="B369" s="2"/>
      <c r="F369" s="2"/>
      <c r="I369" s="2"/>
    </row>
    <row r="370" spans="2:9" x14ac:dyDescent="0.2">
      <c r="B370" s="2"/>
      <c r="F370" s="2"/>
      <c r="I370" s="2"/>
    </row>
    <row r="371" spans="2:9" x14ac:dyDescent="0.2">
      <c r="B371" s="2"/>
      <c r="F371" s="2"/>
      <c r="I371" s="2"/>
    </row>
    <row r="372" spans="2:9" x14ac:dyDescent="0.2">
      <c r="B372" s="2"/>
      <c r="F372" s="2"/>
      <c r="I372" s="2"/>
    </row>
    <row r="373" spans="2:9" x14ac:dyDescent="0.2">
      <c r="B373" s="2"/>
      <c r="F373" s="2"/>
      <c r="I373" s="2"/>
    </row>
    <row r="374" spans="2:9" x14ac:dyDescent="0.2">
      <c r="B374" s="2"/>
      <c r="F374" s="2"/>
      <c r="I374" s="2"/>
    </row>
    <row r="375" spans="2:9" x14ac:dyDescent="0.2">
      <c r="B375" s="2"/>
      <c r="F375" s="2"/>
      <c r="I375" s="2"/>
    </row>
    <row r="376" spans="2:9" x14ac:dyDescent="0.2">
      <c r="B376" s="2"/>
      <c r="F376" s="2"/>
      <c r="I376" s="2"/>
    </row>
    <row r="377" spans="2:9" x14ac:dyDescent="0.2">
      <c r="B377" s="2"/>
      <c r="F377" s="2"/>
      <c r="I377" s="2"/>
    </row>
    <row r="378" spans="2:9" x14ac:dyDescent="0.2">
      <c r="B378" s="2"/>
      <c r="F378" s="2"/>
      <c r="I378" s="2"/>
    </row>
    <row r="379" spans="2:9" x14ac:dyDescent="0.2">
      <c r="B379" s="2"/>
      <c r="F379" s="2"/>
      <c r="I379" s="2"/>
    </row>
    <row r="380" spans="2:9" x14ac:dyDescent="0.2">
      <c r="B380" s="2"/>
      <c r="F380" s="2"/>
      <c r="I380" s="2"/>
    </row>
    <row r="381" spans="2:9" x14ac:dyDescent="0.2">
      <c r="B381" s="2"/>
      <c r="F381" s="2"/>
      <c r="I381" s="2"/>
    </row>
    <row r="382" spans="2:9" x14ac:dyDescent="0.2">
      <c r="B382" s="2"/>
      <c r="F382" s="2"/>
      <c r="I382" s="2"/>
    </row>
    <row r="383" spans="2:9" x14ac:dyDescent="0.2">
      <c r="B383" s="2"/>
      <c r="F383" s="2"/>
      <c r="I383" s="2"/>
    </row>
    <row r="384" spans="2:9" x14ac:dyDescent="0.2">
      <c r="B384" s="2"/>
      <c r="F384" s="2"/>
      <c r="I384" s="2"/>
    </row>
    <row r="385" spans="2:9" x14ac:dyDescent="0.2">
      <c r="B385" s="2"/>
      <c r="F385" s="2"/>
      <c r="I385" s="2"/>
    </row>
    <row r="386" spans="2:9" x14ac:dyDescent="0.2">
      <c r="B386" s="2"/>
      <c r="F386" s="2"/>
      <c r="I386" s="2"/>
    </row>
    <row r="387" spans="2:9" x14ac:dyDescent="0.2">
      <c r="B387" s="2"/>
      <c r="F387" s="2"/>
      <c r="I387" s="2"/>
    </row>
    <row r="388" spans="2:9" x14ac:dyDescent="0.2">
      <c r="B388" s="2"/>
      <c r="F388" s="2"/>
      <c r="I388" s="2"/>
    </row>
    <row r="389" spans="2:9" x14ac:dyDescent="0.2">
      <c r="B389" s="2"/>
      <c r="F389" s="2"/>
      <c r="I389" s="2"/>
    </row>
    <row r="390" spans="2:9" x14ac:dyDescent="0.2">
      <c r="B390" s="2"/>
      <c r="F390" s="2"/>
      <c r="I390" s="2"/>
    </row>
    <row r="391" spans="2:9" x14ac:dyDescent="0.2">
      <c r="B391" s="2"/>
      <c r="F391" s="2"/>
      <c r="I391" s="2"/>
    </row>
    <row r="392" spans="2:9" x14ac:dyDescent="0.2">
      <c r="B392" s="2"/>
      <c r="F392" s="2"/>
      <c r="I392" s="2"/>
    </row>
    <row r="393" spans="2:9" x14ac:dyDescent="0.2">
      <c r="B393" s="2"/>
      <c r="F393" s="2"/>
      <c r="I393" s="2"/>
    </row>
    <row r="394" spans="2:9" x14ac:dyDescent="0.2">
      <c r="B394" s="2"/>
      <c r="F394" s="2"/>
      <c r="I394" s="2"/>
    </row>
    <row r="395" spans="2:9" x14ac:dyDescent="0.2">
      <c r="B395" s="2"/>
      <c r="F395" s="2"/>
      <c r="I395" s="2"/>
    </row>
    <row r="396" spans="2:9" x14ac:dyDescent="0.2">
      <c r="B396" s="2"/>
      <c r="F396" s="2"/>
      <c r="I396" s="2"/>
    </row>
    <row r="397" spans="2:9" x14ac:dyDescent="0.2">
      <c r="B397" s="2"/>
      <c r="F397" s="2"/>
      <c r="I397" s="2"/>
    </row>
    <row r="398" spans="2:9" x14ac:dyDescent="0.2">
      <c r="B398" s="2"/>
      <c r="F398" s="2"/>
      <c r="I398" s="2"/>
    </row>
    <row r="399" spans="2:9" x14ac:dyDescent="0.2">
      <c r="B399" s="2"/>
      <c r="F399" s="2"/>
      <c r="I399" s="2"/>
    </row>
    <row r="400" spans="2:9" x14ac:dyDescent="0.2">
      <c r="B400" s="2"/>
      <c r="F400" s="2"/>
      <c r="I400" s="2"/>
    </row>
    <row r="401" spans="2:9" x14ac:dyDescent="0.2">
      <c r="B401" s="2"/>
      <c r="F401" s="2"/>
      <c r="I401" s="2"/>
    </row>
    <row r="402" spans="2:9" x14ac:dyDescent="0.2">
      <c r="B402" s="2"/>
      <c r="F402" s="2"/>
      <c r="I402" s="2"/>
    </row>
    <row r="403" spans="2:9" x14ac:dyDescent="0.2">
      <c r="B403" s="2"/>
      <c r="F403" s="2"/>
      <c r="I403" s="2"/>
    </row>
    <row r="404" spans="2:9" x14ac:dyDescent="0.2">
      <c r="B404" s="2"/>
      <c r="F404" s="2"/>
      <c r="I404" s="2"/>
    </row>
    <row r="405" spans="2:9" x14ac:dyDescent="0.2">
      <c r="B405" s="2"/>
      <c r="F405" s="2"/>
      <c r="I405" s="2"/>
    </row>
    <row r="406" spans="2:9" x14ac:dyDescent="0.2">
      <c r="B406" s="2"/>
      <c r="F406" s="2"/>
      <c r="I406" s="2"/>
    </row>
    <row r="407" spans="2:9" x14ac:dyDescent="0.2">
      <c r="B407" s="2"/>
      <c r="F407" s="2"/>
      <c r="I407" s="2"/>
    </row>
    <row r="408" spans="2:9" x14ac:dyDescent="0.2">
      <c r="B408" s="2"/>
      <c r="F408" s="2"/>
      <c r="I408" s="2"/>
    </row>
    <row r="409" spans="2:9" x14ac:dyDescent="0.2">
      <c r="B409" s="2"/>
      <c r="F409" s="2"/>
      <c r="I409" s="2"/>
    </row>
    <row r="410" spans="2:9" x14ac:dyDescent="0.2">
      <c r="B410" s="2"/>
      <c r="F410" s="2"/>
      <c r="I410" s="2"/>
    </row>
    <row r="411" spans="2:9" x14ac:dyDescent="0.2">
      <c r="B411" s="2"/>
      <c r="F411" s="2"/>
      <c r="I411" s="2"/>
    </row>
    <row r="412" spans="2:9" x14ac:dyDescent="0.2">
      <c r="B412" s="2"/>
      <c r="F412" s="2"/>
      <c r="I412" s="2"/>
    </row>
    <row r="413" spans="2:9" x14ac:dyDescent="0.2">
      <c r="B413" s="2"/>
      <c r="F413" s="2"/>
      <c r="I413" s="2"/>
    </row>
    <row r="414" spans="2:9" x14ac:dyDescent="0.2">
      <c r="B414" s="2"/>
      <c r="F414" s="2"/>
      <c r="I414" s="2"/>
    </row>
    <row r="415" spans="2:9" x14ac:dyDescent="0.2">
      <c r="B415" s="2"/>
      <c r="F415" s="2"/>
      <c r="I415" s="2"/>
    </row>
    <row r="416" spans="2:9" x14ac:dyDescent="0.2">
      <c r="B416" s="2"/>
      <c r="F416" s="2"/>
      <c r="I416" s="2"/>
    </row>
    <row r="417" spans="2:9" x14ac:dyDescent="0.2">
      <c r="B417" s="2"/>
      <c r="F417" s="2"/>
      <c r="I417" s="2"/>
    </row>
    <row r="418" spans="2:9" x14ac:dyDescent="0.2">
      <c r="B418" s="2"/>
      <c r="F418" s="2"/>
      <c r="I418" s="2"/>
    </row>
    <row r="419" spans="2:9" x14ac:dyDescent="0.2">
      <c r="B419" s="2"/>
      <c r="F419" s="2"/>
      <c r="I419" s="2"/>
    </row>
    <row r="420" spans="2:9" x14ac:dyDescent="0.2">
      <c r="B420" s="2"/>
      <c r="F420" s="2"/>
      <c r="I420" s="2"/>
    </row>
    <row r="421" spans="2:9" x14ac:dyDescent="0.2">
      <c r="B421" s="2"/>
      <c r="F421" s="2"/>
      <c r="I421" s="2"/>
    </row>
    <row r="422" spans="2:9" x14ac:dyDescent="0.2">
      <c r="B422" s="2"/>
      <c r="F422" s="2"/>
      <c r="I422" s="2"/>
    </row>
    <row r="423" spans="2:9" x14ac:dyDescent="0.2">
      <c r="B423" s="2"/>
      <c r="F423" s="2"/>
      <c r="I423" s="2"/>
    </row>
    <row r="424" spans="2:9" x14ac:dyDescent="0.2">
      <c r="B424" s="2"/>
      <c r="F424" s="2"/>
      <c r="I424" s="2"/>
    </row>
    <row r="425" spans="2:9" x14ac:dyDescent="0.2">
      <c r="B425" s="2"/>
      <c r="F425" s="2"/>
      <c r="I425" s="2"/>
    </row>
    <row r="426" spans="2:9" x14ac:dyDescent="0.2">
      <c r="B426" s="2"/>
      <c r="F426" s="2"/>
      <c r="I426" s="2"/>
    </row>
    <row r="427" spans="2:9" x14ac:dyDescent="0.2">
      <c r="B427" s="2"/>
      <c r="F427" s="2"/>
      <c r="I427" s="2"/>
    </row>
    <row r="428" spans="2:9" x14ac:dyDescent="0.2">
      <c r="B428" s="2"/>
      <c r="F428" s="2"/>
      <c r="I428" s="2"/>
    </row>
    <row r="429" spans="2:9" x14ac:dyDescent="0.2">
      <c r="B429" s="2"/>
      <c r="F429" s="2"/>
      <c r="I429" s="2"/>
    </row>
    <row r="430" spans="2:9" x14ac:dyDescent="0.2">
      <c r="B430" s="2"/>
      <c r="F430" s="2"/>
      <c r="I430" s="2"/>
    </row>
    <row r="431" spans="2:9" x14ac:dyDescent="0.2">
      <c r="B431" s="2"/>
      <c r="F431" s="2"/>
      <c r="I431" s="2"/>
    </row>
    <row r="432" spans="2:9" x14ac:dyDescent="0.2">
      <c r="B432" s="2"/>
      <c r="F432" s="2"/>
      <c r="I432" s="2"/>
    </row>
    <row r="433" spans="2:9" x14ac:dyDescent="0.2">
      <c r="B433" s="2"/>
      <c r="F433" s="2"/>
      <c r="I433" s="2"/>
    </row>
    <row r="434" spans="2:9" x14ac:dyDescent="0.2">
      <c r="B434" s="2"/>
      <c r="F434" s="2"/>
      <c r="I434" s="2"/>
    </row>
    <row r="435" spans="2:9" x14ac:dyDescent="0.2">
      <c r="B435" s="2"/>
      <c r="F435" s="2"/>
      <c r="I435" s="2"/>
    </row>
    <row r="436" spans="2:9" x14ac:dyDescent="0.2">
      <c r="B436" s="2"/>
      <c r="F436" s="2"/>
      <c r="I436" s="2"/>
    </row>
    <row r="437" spans="2:9" x14ac:dyDescent="0.2">
      <c r="B437" s="2"/>
      <c r="F437" s="2"/>
      <c r="I437" s="2"/>
    </row>
    <row r="438" spans="2:9" x14ac:dyDescent="0.2">
      <c r="B438" s="2"/>
      <c r="F438" s="2"/>
      <c r="I438" s="2"/>
    </row>
    <row r="439" spans="2:9" x14ac:dyDescent="0.2">
      <c r="B439" s="2"/>
      <c r="F439" s="2"/>
      <c r="I439" s="2"/>
    </row>
    <row r="440" spans="2:9" x14ac:dyDescent="0.2">
      <c r="B440" s="2"/>
      <c r="F440" s="2"/>
      <c r="I440" s="2"/>
    </row>
    <row r="441" spans="2:9" x14ac:dyDescent="0.2">
      <c r="B441" s="2"/>
      <c r="F441" s="2"/>
      <c r="I441" s="2"/>
    </row>
    <row r="442" spans="2:9" x14ac:dyDescent="0.2">
      <c r="B442" s="2"/>
      <c r="F442" s="2"/>
      <c r="I442" s="2"/>
    </row>
    <row r="443" spans="2:9" x14ac:dyDescent="0.2">
      <c r="B443" s="2"/>
      <c r="F443" s="2"/>
      <c r="I443" s="2"/>
    </row>
    <row r="444" spans="2:9" x14ac:dyDescent="0.2">
      <c r="B444" s="2"/>
      <c r="F444" s="2"/>
      <c r="I444" s="2"/>
    </row>
    <row r="445" spans="2:9" x14ac:dyDescent="0.2">
      <c r="B445" s="2"/>
      <c r="F445" s="2"/>
      <c r="I445" s="2"/>
    </row>
    <row r="446" spans="2:9" x14ac:dyDescent="0.2">
      <c r="B446" s="2"/>
      <c r="F446" s="2"/>
      <c r="I446" s="2"/>
    </row>
    <row r="447" spans="2:9" x14ac:dyDescent="0.2">
      <c r="B447" s="2"/>
      <c r="F447" s="2"/>
      <c r="I447" s="2"/>
    </row>
    <row r="448" spans="2:9" x14ac:dyDescent="0.2">
      <c r="B448" s="2"/>
      <c r="F448" s="2"/>
      <c r="I448" s="2"/>
    </row>
    <row r="449" spans="2:9" x14ac:dyDescent="0.2">
      <c r="B449" s="2"/>
      <c r="F449" s="2"/>
      <c r="I449" s="2"/>
    </row>
    <row r="450" spans="2:9" x14ac:dyDescent="0.2">
      <c r="B450" s="2"/>
      <c r="F450" s="2"/>
      <c r="I450" s="2"/>
    </row>
    <row r="451" spans="2:9" x14ac:dyDescent="0.2">
      <c r="B451" s="2"/>
      <c r="F451" s="2"/>
      <c r="I451" s="2"/>
    </row>
    <row r="452" spans="2:9" x14ac:dyDescent="0.2">
      <c r="B452" s="2"/>
      <c r="F452" s="2"/>
      <c r="I452" s="2"/>
    </row>
    <row r="453" spans="2:9" x14ac:dyDescent="0.2">
      <c r="B453" s="2"/>
      <c r="F453" s="2"/>
      <c r="I453" s="2"/>
    </row>
    <row r="454" spans="2:9" x14ac:dyDescent="0.2">
      <c r="B454" s="2"/>
      <c r="F454" s="2"/>
      <c r="I454" s="2"/>
    </row>
    <row r="455" spans="2:9" x14ac:dyDescent="0.2">
      <c r="B455" s="2"/>
      <c r="F455" s="2"/>
      <c r="I455" s="2"/>
    </row>
    <row r="456" spans="2:9" x14ac:dyDescent="0.2">
      <c r="B456" s="2"/>
      <c r="F456" s="2"/>
      <c r="I456" s="2"/>
    </row>
    <row r="457" spans="2:9" x14ac:dyDescent="0.2">
      <c r="B457" s="2"/>
      <c r="F457" s="2"/>
      <c r="I457" s="2"/>
    </row>
    <row r="458" spans="2:9" x14ac:dyDescent="0.2">
      <c r="B458" s="2"/>
      <c r="F458" s="2"/>
      <c r="I458" s="2"/>
    </row>
    <row r="459" spans="2:9" x14ac:dyDescent="0.2">
      <c r="B459" s="2"/>
      <c r="F459" s="2"/>
      <c r="I459" s="2"/>
    </row>
    <row r="460" spans="2:9" x14ac:dyDescent="0.2">
      <c r="B460" s="2"/>
      <c r="F460" s="2"/>
      <c r="I460" s="2"/>
    </row>
    <row r="461" spans="2:9" x14ac:dyDescent="0.2">
      <c r="B461" s="2"/>
      <c r="F461" s="2"/>
      <c r="I461" s="2"/>
    </row>
    <row r="462" spans="2:9" x14ac:dyDescent="0.2">
      <c r="B462" s="2"/>
      <c r="F462" s="2"/>
      <c r="I462" s="2"/>
    </row>
    <row r="463" spans="2:9" x14ac:dyDescent="0.2">
      <c r="B463" s="2"/>
      <c r="F463" s="2"/>
      <c r="I463" s="2"/>
    </row>
    <row r="464" spans="2:9" x14ac:dyDescent="0.2">
      <c r="B464" s="2"/>
      <c r="F464" s="2"/>
      <c r="I464" s="2"/>
    </row>
    <row r="465" spans="2:9" x14ac:dyDescent="0.2">
      <c r="B465" s="2"/>
      <c r="F465" s="2"/>
      <c r="I465" s="2"/>
    </row>
    <row r="466" spans="2:9" x14ac:dyDescent="0.2">
      <c r="B466" s="2"/>
      <c r="F466" s="2"/>
      <c r="I466" s="2"/>
    </row>
    <row r="467" spans="2:9" x14ac:dyDescent="0.2">
      <c r="B467" s="2"/>
      <c r="F467" s="2"/>
      <c r="I467" s="2"/>
    </row>
    <row r="468" spans="2:9" x14ac:dyDescent="0.2">
      <c r="B468" s="2"/>
      <c r="F468" s="2"/>
      <c r="I468" s="2"/>
    </row>
    <row r="469" spans="2:9" x14ac:dyDescent="0.2">
      <c r="B469" s="2"/>
      <c r="F469" s="2"/>
      <c r="I469" s="2"/>
    </row>
    <row r="470" spans="2:9" x14ac:dyDescent="0.2">
      <c r="B470" s="2"/>
      <c r="F470" s="2"/>
      <c r="I470" s="2"/>
    </row>
    <row r="471" spans="2:9" x14ac:dyDescent="0.2">
      <c r="B471" s="2"/>
      <c r="F471" s="2"/>
      <c r="I471" s="2"/>
    </row>
    <row r="472" spans="2:9" x14ac:dyDescent="0.2">
      <c r="B472" s="2"/>
      <c r="F472" s="2"/>
      <c r="I472" s="2"/>
    </row>
    <row r="473" spans="2:9" x14ac:dyDescent="0.2">
      <c r="B473" s="2"/>
      <c r="F473" s="2"/>
      <c r="I473" s="2"/>
    </row>
    <row r="474" spans="2:9" x14ac:dyDescent="0.2">
      <c r="B474" s="2"/>
      <c r="F474" s="2"/>
      <c r="I474" s="2"/>
    </row>
    <row r="475" spans="2:9" x14ac:dyDescent="0.2">
      <c r="B475" s="2"/>
      <c r="F475" s="2"/>
      <c r="I475" s="2"/>
    </row>
    <row r="476" spans="2:9" x14ac:dyDescent="0.2">
      <c r="B476" s="2"/>
      <c r="F476" s="2"/>
      <c r="I476" s="2"/>
    </row>
    <row r="477" spans="2:9" x14ac:dyDescent="0.2">
      <c r="B477" s="2"/>
      <c r="F477" s="2"/>
      <c r="I477" s="2"/>
    </row>
    <row r="478" spans="2:9" x14ac:dyDescent="0.2">
      <c r="B478" s="2"/>
      <c r="F478" s="2"/>
      <c r="I478" s="2"/>
    </row>
    <row r="479" spans="2:9" x14ac:dyDescent="0.2">
      <c r="B479" s="2"/>
      <c r="F479" s="2"/>
      <c r="I479" s="2"/>
    </row>
    <row r="480" spans="2:9" x14ac:dyDescent="0.2">
      <c r="B480" s="2"/>
      <c r="F480" s="2"/>
      <c r="I480" s="2"/>
    </row>
    <row r="481" spans="2:9" x14ac:dyDescent="0.2">
      <c r="B481" s="2"/>
      <c r="F481" s="2"/>
      <c r="I481" s="2"/>
    </row>
    <row r="482" spans="2:9" x14ac:dyDescent="0.2">
      <c r="B482" s="2"/>
      <c r="F482" s="2"/>
      <c r="I482" s="2"/>
    </row>
    <row r="483" spans="2:9" x14ac:dyDescent="0.2">
      <c r="B483" s="2"/>
      <c r="F483" s="2"/>
      <c r="I483" s="2"/>
    </row>
    <row r="484" spans="2:9" x14ac:dyDescent="0.2">
      <c r="B484" s="2"/>
      <c r="F484" s="2"/>
      <c r="I484" s="2"/>
    </row>
    <row r="485" spans="2:9" x14ac:dyDescent="0.2">
      <c r="B485" s="2"/>
      <c r="F485" s="2"/>
      <c r="I485" s="2"/>
    </row>
    <row r="486" spans="2:9" x14ac:dyDescent="0.2">
      <c r="B486" s="2"/>
      <c r="F486" s="2"/>
      <c r="I486" s="2"/>
    </row>
    <row r="487" spans="2:9" x14ac:dyDescent="0.2">
      <c r="B487" s="2"/>
      <c r="F487" s="2"/>
      <c r="I487" s="2"/>
    </row>
    <row r="488" spans="2:9" x14ac:dyDescent="0.2">
      <c r="B488" s="2"/>
      <c r="F488" s="2"/>
      <c r="I488" s="2"/>
    </row>
    <row r="489" spans="2:9" x14ac:dyDescent="0.2">
      <c r="B489" s="2"/>
      <c r="F489" s="2"/>
      <c r="I489" s="2"/>
    </row>
    <row r="490" spans="2:9" x14ac:dyDescent="0.2">
      <c r="B490" s="2"/>
      <c r="F490" s="2"/>
      <c r="I490" s="2"/>
    </row>
    <row r="491" spans="2:9" x14ac:dyDescent="0.2">
      <c r="B491" s="2"/>
      <c r="F491" s="2"/>
      <c r="I491" s="2"/>
    </row>
    <row r="492" spans="2:9" x14ac:dyDescent="0.2">
      <c r="B492" s="2"/>
      <c r="F492" s="2"/>
      <c r="I492" s="2"/>
    </row>
    <row r="493" spans="2:9" x14ac:dyDescent="0.2">
      <c r="B493" s="2"/>
      <c r="F493" s="2"/>
      <c r="I493" s="2"/>
    </row>
    <row r="494" spans="2:9" x14ac:dyDescent="0.2">
      <c r="B494" s="2"/>
      <c r="F494" s="2"/>
      <c r="I494" s="2"/>
    </row>
    <row r="495" spans="2:9" x14ac:dyDescent="0.2">
      <c r="B495" s="2"/>
      <c r="F495" s="2"/>
      <c r="I495" s="2"/>
    </row>
    <row r="496" spans="2:9" x14ac:dyDescent="0.2">
      <c r="B496" s="2"/>
      <c r="F496" s="2"/>
      <c r="I496" s="2"/>
    </row>
    <row r="497" spans="2:9" x14ac:dyDescent="0.2">
      <c r="B497" s="2"/>
      <c r="F497" s="2"/>
      <c r="I497" s="2"/>
    </row>
    <row r="498" spans="2:9" x14ac:dyDescent="0.2">
      <c r="B498" s="2"/>
      <c r="F498" s="2"/>
      <c r="I498" s="2"/>
    </row>
    <row r="499" spans="2:9" x14ac:dyDescent="0.2">
      <c r="B499" s="2"/>
      <c r="F499" s="2"/>
      <c r="I499" s="2"/>
    </row>
    <row r="500" spans="2:9" x14ac:dyDescent="0.2">
      <c r="B500" s="2"/>
      <c r="F500" s="2"/>
      <c r="I500" s="2"/>
    </row>
    <row r="501" spans="2:9" x14ac:dyDescent="0.2">
      <c r="B501" s="2"/>
      <c r="F501" s="2"/>
      <c r="I501" s="2"/>
    </row>
    <row r="502" spans="2:9" x14ac:dyDescent="0.2">
      <c r="B502" s="2"/>
      <c r="F502" s="2"/>
      <c r="I502" s="2"/>
    </row>
    <row r="503" spans="2:9" x14ac:dyDescent="0.2">
      <c r="B503" s="2"/>
      <c r="F503" s="2"/>
      <c r="I503" s="2"/>
    </row>
    <row r="504" spans="2:9" x14ac:dyDescent="0.2">
      <c r="B504" s="2"/>
      <c r="F504" s="2"/>
      <c r="I504" s="2"/>
    </row>
    <row r="505" spans="2:9" x14ac:dyDescent="0.2">
      <c r="B505" s="2"/>
      <c r="F505" s="2"/>
      <c r="I505" s="2"/>
    </row>
    <row r="506" spans="2:9" x14ac:dyDescent="0.2">
      <c r="B506" s="2"/>
      <c r="F506" s="2"/>
      <c r="I506" s="2"/>
    </row>
    <row r="507" spans="2:9" x14ac:dyDescent="0.2">
      <c r="B507" s="2"/>
      <c r="F507" s="2"/>
      <c r="I507" s="2"/>
    </row>
    <row r="508" spans="2:9" x14ac:dyDescent="0.2">
      <c r="B508" s="2"/>
      <c r="F508" s="2"/>
      <c r="I508" s="2"/>
    </row>
    <row r="509" spans="2:9" x14ac:dyDescent="0.2">
      <c r="B509" s="2"/>
      <c r="F509" s="2"/>
      <c r="I509" s="2"/>
    </row>
    <row r="510" spans="2:9" x14ac:dyDescent="0.2">
      <c r="B510" s="2"/>
      <c r="F510" s="2"/>
      <c r="I510" s="2"/>
    </row>
    <row r="511" spans="2:9" x14ac:dyDescent="0.2">
      <c r="B511" s="2"/>
      <c r="F511" s="2"/>
      <c r="I511" s="2"/>
    </row>
    <row r="512" spans="2:9" x14ac:dyDescent="0.2">
      <c r="B512" s="2"/>
      <c r="F512" s="2"/>
      <c r="I512" s="2"/>
    </row>
    <row r="513" spans="2:9" x14ac:dyDescent="0.2">
      <c r="B513" s="2"/>
      <c r="F513" s="2"/>
      <c r="I513" s="2"/>
    </row>
    <row r="514" spans="2:9" x14ac:dyDescent="0.2">
      <c r="B514" s="2"/>
      <c r="F514" s="2"/>
      <c r="I514" s="2"/>
    </row>
    <row r="515" spans="2:9" x14ac:dyDescent="0.2">
      <c r="B515" s="2"/>
      <c r="F515" s="2"/>
      <c r="I515" s="2"/>
    </row>
    <row r="516" spans="2:9" x14ac:dyDescent="0.2">
      <c r="B516" s="2"/>
      <c r="F516" s="2"/>
      <c r="I516" s="2"/>
    </row>
    <row r="517" spans="2:9" x14ac:dyDescent="0.2">
      <c r="B517" s="2"/>
      <c r="F517" s="2"/>
      <c r="I517" s="2"/>
    </row>
    <row r="518" spans="2:9" x14ac:dyDescent="0.2">
      <c r="B518" s="2"/>
      <c r="F518" s="2"/>
      <c r="I518" s="2"/>
    </row>
    <row r="519" spans="2:9" x14ac:dyDescent="0.2">
      <c r="B519" s="2"/>
      <c r="F519" s="2"/>
      <c r="I519" s="2"/>
    </row>
    <row r="520" spans="2:9" x14ac:dyDescent="0.2">
      <c r="B520" s="2"/>
      <c r="F520" s="2"/>
      <c r="I520" s="2"/>
    </row>
    <row r="521" spans="2:9" x14ac:dyDescent="0.2">
      <c r="B521" s="2"/>
      <c r="F521" s="2"/>
      <c r="I521" s="2"/>
    </row>
    <row r="522" spans="2:9" x14ac:dyDescent="0.2">
      <c r="B522" s="2"/>
      <c r="F522" s="2"/>
      <c r="I522" s="2"/>
    </row>
    <row r="523" spans="2:9" x14ac:dyDescent="0.2">
      <c r="B523" s="2"/>
      <c r="F523" s="2"/>
      <c r="I523" s="2"/>
    </row>
    <row r="524" spans="2:9" x14ac:dyDescent="0.2">
      <c r="B524" s="2"/>
      <c r="F524" s="2"/>
      <c r="I524" s="2"/>
    </row>
    <row r="525" spans="2:9" x14ac:dyDescent="0.2">
      <c r="B525" s="2"/>
      <c r="F525" s="2"/>
      <c r="I525" s="2"/>
    </row>
    <row r="526" spans="2:9" x14ac:dyDescent="0.2">
      <c r="B526" s="2"/>
      <c r="F526" s="2"/>
      <c r="I526" s="2"/>
    </row>
    <row r="527" spans="2:9" x14ac:dyDescent="0.2">
      <c r="B527" s="2"/>
      <c r="F527" s="2"/>
      <c r="I527" s="2"/>
    </row>
    <row r="528" spans="2:9" x14ac:dyDescent="0.2">
      <c r="B528" s="2"/>
      <c r="F528" s="2"/>
      <c r="I528" s="2"/>
    </row>
    <row r="529" spans="2:9" x14ac:dyDescent="0.2">
      <c r="B529" s="2"/>
      <c r="F529" s="2"/>
      <c r="I529" s="2"/>
    </row>
    <row r="530" spans="2:9" x14ac:dyDescent="0.2">
      <c r="B530" s="2"/>
      <c r="F530" s="2"/>
      <c r="I530" s="2"/>
    </row>
    <row r="531" spans="2:9" x14ac:dyDescent="0.2">
      <c r="B531" s="2"/>
      <c r="F531" s="2"/>
      <c r="I531" s="2"/>
    </row>
    <row r="532" spans="2:9" x14ac:dyDescent="0.2">
      <c r="B532" s="2"/>
      <c r="F532" s="2"/>
      <c r="I532" s="2"/>
    </row>
    <row r="533" spans="2:9" x14ac:dyDescent="0.2">
      <c r="B533" s="2"/>
      <c r="F533" s="2"/>
      <c r="I533" s="2"/>
    </row>
    <row r="534" spans="2:9" x14ac:dyDescent="0.2">
      <c r="B534" s="2"/>
      <c r="F534" s="2"/>
      <c r="I534" s="2"/>
    </row>
    <row r="535" spans="2:9" x14ac:dyDescent="0.2">
      <c r="B535" s="2"/>
      <c r="F535" s="2"/>
      <c r="I535" s="2"/>
    </row>
    <row r="536" spans="2:9" x14ac:dyDescent="0.2">
      <c r="B536" s="2"/>
      <c r="F536" s="2"/>
      <c r="I536" s="2"/>
    </row>
    <row r="537" spans="2:9" x14ac:dyDescent="0.2">
      <c r="B537" s="2"/>
      <c r="F537" s="2"/>
      <c r="I537" s="2"/>
    </row>
    <row r="538" spans="2:9" x14ac:dyDescent="0.2">
      <c r="B538" s="2"/>
      <c r="F538" s="2"/>
      <c r="I538" s="2"/>
    </row>
    <row r="539" spans="2:9" x14ac:dyDescent="0.2">
      <c r="B539" s="2"/>
      <c r="F539" s="2"/>
      <c r="I539" s="2"/>
    </row>
    <row r="540" spans="2:9" x14ac:dyDescent="0.2">
      <c r="B540" s="2"/>
      <c r="F540" s="2"/>
      <c r="I540" s="2"/>
    </row>
    <row r="541" spans="2:9" x14ac:dyDescent="0.2">
      <c r="B541" s="2"/>
      <c r="F541" s="2"/>
      <c r="I541" s="2"/>
    </row>
    <row r="542" spans="2:9" x14ac:dyDescent="0.2">
      <c r="B542" s="2"/>
      <c r="F542" s="2"/>
      <c r="I542" s="2"/>
    </row>
    <row r="543" spans="2:9" x14ac:dyDescent="0.2">
      <c r="B543" s="2"/>
      <c r="F543" s="2"/>
      <c r="I543" s="2"/>
    </row>
    <row r="544" spans="2:9" x14ac:dyDescent="0.2">
      <c r="B544" s="2"/>
      <c r="F544" s="2"/>
      <c r="I544" s="2"/>
    </row>
    <row r="545" spans="2:9" x14ac:dyDescent="0.2">
      <c r="B545" s="2"/>
      <c r="F545" s="2"/>
      <c r="I545" s="2"/>
    </row>
    <row r="546" spans="2:9" x14ac:dyDescent="0.2">
      <c r="B546" s="2"/>
      <c r="F546" s="2"/>
      <c r="I546" s="2"/>
    </row>
    <row r="547" spans="2:9" x14ac:dyDescent="0.2">
      <c r="B547" s="2"/>
      <c r="F547" s="2"/>
      <c r="I547" s="2"/>
    </row>
    <row r="548" spans="2:9" x14ac:dyDescent="0.2">
      <c r="B548" s="2"/>
      <c r="F548" s="2"/>
      <c r="I548" s="2"/>
    </row>
    <row r="549" spans="2:9" x14ac:dyDescent="0.2">
      <c r="B549" s="2"/>
      <c r="F549" s="2"/>
      <c r="I549" s="2"/>
    </row>
    <row r="550" spans="2:9" x14ac:dyDescent="0.2">
      <c r="B550" s="2"/>
      <c r="F550" s="2"/>
      <c r="I550" s="2"/>
    </row>
    <row r="551" spans="2:9" x14ac:dyDescent="0.2">
      <c r="B551" s="2"/>
      <c r="F551" s="2"/>
      <c r="I551" s="2"/>
    </row>
    <row r="552" spans="2:9" x14ac:dyDescent="0.2">
      <c r="B552" s="2"/>
      <c r="F552" s="2"/>
      <c r="I552" s="2"/>
    </row>
    <row r="553" spans="2:9" x14ac:dyDescent="0.2">
      <c r="B553" s="2"/>
      <c r="F553" s="2"/>
      <c r="I553" s="2"/>
    </row>
    <row r="554" spans="2:9" x14ac:dyDescent="0.2">
      <c r="B554" s="2"/>
      <c r="F554" s="2"/>
      <c r="I554" s="2"/>
    </row>
    <row r="555" spans="2:9" x14ac:dyDescent="0.2">
      <c r="B555" s="2"/>
      <c r="F555" s="2"/>
      <c r="I555" s="2"/>
    </row>
    <row r="556" spans="2:9" x14ac:dyDescent="0.2">
      <c r="B556" s="2"/>
      <c r="F556" s="2"/>
      <c r="I556" s="2"/>
    </row>
    <row r="557" spans="2:9" x14ac:dyDescent="0.2">
      <c r="B557" s="2"/>
      <c r="F557" s="2"/>
      <c r="I557" s="2"/>
    </row>
    <row r="558" spans="2:9" x14ac:dyDescent="0.2">
      <c r="B558" s="2"/>
      <c r="F558" s="2"/>
      <c r="I558" s="2"/>
    </row>
    <row r="559" spans="2:9" x14ac:dyDescent="0.2">
      <c r="B559" s="2"/>
      <c r="F559" s="2"/>
      <c r="I559" s="2"/>
    </row>
    <row r="560" spans="2:9" x14ac:dyDescent="0.2">
      <c r="B560" s="2"/>
      <c r="F560" s="2"/>
      <c r="I560" s="2"/>
    </row>
    <row r="561" spans="2:9" x14ac:dyDescent="0.2">
      <c r="B561" s="2"/>
      <c r="F561" s="2"/>
      <c r="I561" s="2"/>
    </row>
    <row r="562" spans="2:9" x14ac:dyDescent="0.2">
      <c r="B562" s="2"/>
      <c r="F562" s="2"/>
      <c r="I562" s="2"/>
    </row>
    <row r="563" spans="2:9" x14ac:dyDescent="0.2">
      <c r="B563" s="2"/>
      <c r="F563" s="2"/>
      <c r="I563" s="2"/>
    </row>
    <row r="564" spans="2:9" x14ac:dyDescent="0.2">
      <c r="B564" s="2"/>
      <c r="F564" s="2"/>
      <c r="I564" s="2"/>
    </row>
    <row r="565" spans="2:9" x14ac:dyDescent="0.2">
      <c r="B565" s="2"/>
      <c r="F565" s="2"/>
      <c r="I565" s="2"/>
    </row>
    <row r="566" spans="2:9" x14ac:dyDescent="0.2">
      <c r="B566" s="2"/>
      <c r="F566" s="2"/>
      <c r="I566" s="2"/>
    </row>
    <row r="567" spans="2:9" x14ac:dyDescent="0.2">
      <c r="B567" s="2"/>
      <c r="F567" s="2"/>
      <c r="I567" s="2"/>
    </row>
    <row r="568" spans="2:9" x14ac:dyDescent="0.2">
      <c r="B568" s="2"/>
      <c r="F568" s="2"/>
      <c r="I568" s="2"/>
    </row>
    <row r="569" spans="2:9" x14ac:dyDescent="0.2">
      <c r="B569" s="2"/>
      <c r="F569" s="2"/>
      <c r="I569" s="2"/>
    </row>
    <row r="570" spans="2:9" x14ac:dyDescent="0.2">
      <c r="B570" s="2"/>
      <c r="F570" s="2"/>
      <c r="I570" s="2"/>
    </row>
    <row r="571" spans="2:9" x14ac:dyDescent="0.2">
      <c r="B571" s="2"/>
      <c r="F571" s="2"/>
      <c r="I571" s="2"/>
    </row>
    <row r="572" spans="2:9" x14ac:dyDescent="0.2">
      <c r="B572" s="2"/>
      <c r="F572" s="2"/>
      <c r="I572" s="2"/>
    </row>
    <row r="573" spans="2:9" x14ac:dyDescent="0.2">
      <c r="B573" s="2"/>
      <c r="F573" s="2"/>
      <c r="I573" s="2"/>
    </row>
    <row r="574" spans="2:9" x14ac:dyDescent="0.2">
      <c r="B574" s="2"/>
      <c r="F574" s="2"/>
      <c r="I574" s="2"/>
    </row>
    <row r="575" spans="2:9" x14ac:dyDescent="0.2">
      <c r="B575" s="2"/>
      <c r="F575" s="2"/>
      <c r="I575" s="2"/>
    </row>
    <row r="576" spans="2:9" x14ac:dyDescent="0.2">
      <c r="B576" s="2"/>
      <c r="F576" s="2"/>
      <c r="I576" s="2"/>
    </row>
    <row r="577" spans="2:9" x14ac:dyDescent="0.2">
      <c r="B577" s="2"/>
      <c r="F577" s="2"/>
      <c r="I577" s="2"/>
    </row>
    <row r="578" spans="2:9" x14ac:dyDescent="0.2">
      <c r="B578" s="2"/>
      <c r="F578" s="2"/>
      <c r="I578" s="2"/>
    </row>
    <row r="579" spans="2:9" x14ac:dyDescent="0.2">
      <c r="B579" s="2"/>
      <c r="F579" s="2"/>
      <c r="I579" s="2"/>
    </row>
    <row r="580" spans="2:9" x14ac:dyDescent="0.2">
      <c r="B580" s="2"/>
      <c r="F580" s="2"/>
      <c r="I580" s="2"/>
    </row>
    <row r="581" spans="2:9" x14ac:dyDescent="0.2">
      <c r="B581" s="2"/>
      <c r="F581" s="2"/>
      <c r="I581" s="2"/>
    </row>
    <row r="582" spans="2:9" x14ac:dyDescent="0.2">
      <c r="B582" s="2"/>
      <c r="F582" s="2"/>
      <c r="I582" s="2"/>
    </row>
    <row r="583" spans="2:9" x14ac:dyDescent="0.2">
      <c r="B583" s="2"/>
      <c r="F583" s="2"/>
      <c r="I583" s="2"/>
    </row>
    <row r="584" spans="2:9" x14ac:dyDescent="0.2">
      <c r="B584" s="2"/>
      <c r="F584" s="2"/>
      <c r="I584" s="2"/>
    </row>
    <row r="585" spans="2:9" x14ac:dyDescent="0.2">
      <c r="B585" s="2"/>
      <c r="F585" s="2"/>
      <c r="I585" s="2"/>
    </row>
    <row r="586" spans="2:9" x14ac:dyDescent="0.2">
      <c r="B586" s="2"/>
      <c r="F586" s="2"/>
      <c r="I586" s="2"/>
    </row>
    <row r="587" spans="2:9" x14ac:dyDescent="0.2">
      <c r="B587" s="2"/>
      <c r="F587" s="2"/>
      <c r="I587" s="2"/>
    </row>
    <row r="588" spans="2:9" x14ac:dyDescent="0.2">
      <c r="B588" s="2"/>
      <c r="F588" s="2"/>
      <c r="I588" s="2"/>
    </row>
    <row r="589" spans="2:9" x14ac:dyDescent="0.2">
      <c r="B589" s="2"/>
      <c r="F589" s="2"/>
      <c r="I589" s="2"/>
    </row>
    <row r="590" spans="2:9" x14ac:dyDescent="0.2">
      <c r="B590" s="2"/>
      <c r="F590" s="2"/>
      <c r="I590" s="2"/>
    </row>
    <row r="591" spans="2:9" x14ac:dyDescent="0.2">
      <c r="B591" s="2"/>
      <c r="F591" s="2"/>
      <c r="I591" s="2"/>
    </row>
    <row r="592" spans="2:9" x14ac:dyDescent="0.2">
      <c r="B592" s="2"/>
      <c r="F592" s="2"/>
      <c r="I592" s="2"/>
    </row>
    <row r="593" spans="2:9" x14ac:dyDescent="0.2">
      <c r="B593" s="2"/>
      <c r="F593" s="2"/>
      <c r="I593" s="2"/>
    </row>
    <row r="594" spans="2:9" x14ac:dyDescent="0.2">
      <c r="B594" s="2"/>
      <c r="F594" s="2"/>
      <c r="I594" s="2"/>
    </row>
    <row r="595" spans="2:9" x14ac:dyDescent="0.2">
      <c r="B595" s="2"/>
      <c r="F595" s="2"/>
      <c r="I595" s="2"/>
    </row>
    <row r="596" spans="2:9" x14ac:dyDescent="0.2">
      <c r="B596" s="2"/>
      <c r="F596" s="2"/>
      <c r="I596" s="2"/>
    </row>
    <row r="597" spans="2:9" x14ac:dyDescent="0.2">
      <c r="B597" s="2"/>
      <c r="F597" s="2"/>
      <c r="I597" s="2"/>
    </row>
    <row r="598" spans="2:9" x14ac:dyDescent="0.2">
      <c r="B598" s="2"/>
      <c r="F598" s="2"/>
      <c r="I598" s="2"/>
    </row>
    <row r="599" spans="2:9" x14ac:dyDescent="0.2">
      <c r="B599" s="2"/>
      <c r="F599" s="2"/>
      <c r="I599" s="2"/>
    </row>
    <row r="600" spans="2:9" x14ac:dyDescent="0.2">
      <c r="B600" s="2"/>
      <c r="F600" s="2"/>
      <c r="I600" s="2"/>
    </row>
    <row r="601" spans="2:9" x14ac:dyDescent="0.2">
      <c r="B601" s="2"/>
      <c r="F601" s="2"/>
      <c r="I601" s="2"/>
    </row>
    <row r="602" spans="2:9" x14ac:dyDescent="0.2">
      <c r="B602" s="2"/>
      <c r="F602" s="2"/>
      <c r="I602" s="2"/>
    </row>
    <row r="603" spans="2:9" x14ac:dyDescent="0.2">
      <c r="B603" s="2"/>
      <c r="F603" s="2"/>
      <c r="I603" s="2"/>
    </row>
    <row r="604" spans="2:9" x14ac:dyDescent="0.2">
      <c r="B604" s="2"/>
      <c r="F604" s="2"/>
      <c r="I604" s="2"/>
    </row>
    <row r="605" spans="2:9" x14ac:dyDescent="0.2">
      <c r="B605" s="2"/>
      <c r="F605" s="2"/>
      <c r="I605" s="2"/>
    </row>
    <row r="606" spans="2:9" x14ac:dyDescent="0.2">
      <c r="B606" s="2"/>
      <c r="F606" s="2"/>
      <c r="I606" s="2"/>
    </row>
    <row r="607" spans="2:9" x14ac:dyDescent="0.2">
      <c r="B607" s="2"/>
      <c r="F607" s="2"/>
      <c r="I607" s="2"/>
    </row>
    <row r="608" spans="2:9" x14ac:dyDescent="0.2">
      <c r="B608" s="2"/>
      <c r="F608" s="2"/>
      <c r="I608" s="2"/>
    </row>
    <row r="609" spans="2:9" x14ac:dyDescent="0.2">
      <c r="B609" s="2"/>
      <c r="F609" s="2"/>
      <c r="I609" s="2"/>
    </row>
    <row r="610" spans="2:9" x14ac:dyDescent="0.2">
      <c r="B610" s="2"/>
      <c r="F610" s="2"/>
      <c r="I610" s="2"/>
    </row>
    <row r="611" spans="2:9" x14ac:dyDescent="0.2">
      <c r="B611" s="2"/>
      <c r="F611" s="2"/>
      <c r="I611" s="2"/>
    </row>
    <row r="612" spans="2:9" x14ac:dyDescent="0.2">
      <c r="B612" s="2"/>
      <c r="F612" s="2"/>
      <c r="I612" s="2"/>
    </row>
    <row r="613" spans="2:9" x14ac:dyDescent="0.2">
      <c r="B613" s="2"/>
      <c r="F613" s="2"/>
      <c r="I613" s="2"/>
    </row>
    <row r="614" spans="2:9" x14ac:dyDescent="0.2">
      <c r="B614" s="2"/>
      <c r="F614" s="2"/>
      <c r="I614" s="2"/>
    </row>
    <row r="615" spans="2:9" x14ac:dyDescent="0.2">
      <c r="B615" s="2"/>
      <c r="F615" s="2"/>
      <c r="I615" s="2"/>
    </row>
    <row r="616" spans="2:9" x14ac:dyDescent="0.2">
      <c r="B616" s="2"/>
      <c r="F616" s="2"/>
      <c r="I616" s="2"/>
    </row>
    <row r="617" spans="2:9" x14ac:dyDescent="0.2">
      <c r="B617" s="2"/>
      <c r="F617" s="2"/>
      <c r="I617" s="2"/>
    </row>
    <row r="618" spans="2:9" x14ac:dyDescent="0.2">
      <c r="B618" s="2"/>
      <c r="F618" s="2"/>
      <c r="I618" s="2"/>
    </row>
    <row r="619" spans="2:9" x14ac:dyDescent="0.2">
      <c r="B619" s="2"/>
      <c r="F619" s="2"/>
      <c r="I619" s="2"/>
    </row>
    <row r="620" spans="2:9" x14ac:dyDescent="0.2">
      <c r="B620" s="2"/>
      <c r="F620" s="2"/>
      <c r="I620" s="2"/>
    </row>
    <row r="621" spans="2:9" x14ac:dyDescent="0.2">
      <c r="B621" s="2"/>
      <c r="F621" s="2"/>
      <c r="I621" s="2"/>
    </row>
    <row r="622" spans="2:9" x14ac:dyDescent="0.2">
      <c r="B622" s="2"/>
      <c r="F622" s="2"/>
      <c r="I622" s="2"/>
    </row>
    <row r="623" spans="2:9" x14ac:dyDescent="0.2">
      <c r="B623" s="2"/>
      <c r="F623" s="2"/>
      <c r="I623" s="2"/>
    </row>
    <row r="624" spans="2:9" x14ac:dyDescent="0.2">
      <c r="B624" s="2"/>
      <c r="F624" s="2"/>
      <c r="I624" s="2"/>
    </row>
    <row r="625" spans="2:9" x14ac:dyDescent="0.2">
      <c r="B625" s="2"/>
      <c r="F625" s="2"/>
      <c r="I625" s="2"/>
    </row>
    <row r="626" spans="2:9" x14ac:dyDescent="0.2">
      <c r="B626" s="2"/>
      <c r="F626" s="2"/>
      <c r="I626" s="2"/>
    </row>
    <row r="627" spans="2:9" x14ac:dyDescent="0.2">
      <c r="B627" s="2"/>
      <c r="F627" s="2"/>
      <c r="I627" s="2"/>
    </row>
    <row r="628" spans="2:9" x14ac:dyDescent="0.2">
      <c r="B628" s="2"/>
      <c r="F628" s="2"/>
      <c r="I628" s="2"/>
    </row>
    <row r="629" spans="2:9" x14ac:dyDescent="0.2">
      <c r="B629" s="2"/>
      <c r="F629" s="2"/>
      <c r="I629" s="2"/>
    </row>
    <row r="630" spans="2:9" x14ac:dyDescent="0.2">
      <c r="B630" s="2"/>
      <c r="F630" s="2"/>
      <c r="I630" s="2"/>
    </row>
    <row r="631" spans="2:9" x14ac:dyDescent="0.2">
      <c r="B631" s="2"/>
      <c r="F631" s="2"/>
      <c r="I631" s="2"/>
    </row>
    <row r="632" spans="2:9" x14ac:dyDescent="0.2">
      <c r="B632" s="2"/>
      <c r="F632" s="2"/>
      <c r="I632" s="2"/>
    </row>
    <row r="633" spans="2:9" x14ac:dyDescent="0.2">
      <c r="B633" s="2"/>
      <c r="F633" s="2"/>
      <c r="I633" s="2"/>
    </row>
    <row r="634" spans="2:9" x14ac:dyDescent="0.2">
      <c r="B634" s="2"/>
      <c r="F634" s="2"/>
      <c r="I634" s="2"/>
    </row>
    <row r="635" spans="2:9" x14ac:dyDescent="0.2">
      <c r="B635" s="2"/>
      <c r="F635" s="2"/>
      <c r="I635" s="2"/>
    </row>
    <row r="636" spans="2:9" x14ac:dyDescent="0.2">
      <c r="B636" s="2"/>
      <c r="F636" s="2"/>
      <c r="I636" s="2"/>
    </row>
    <row r="637" spans="2:9" x14ac:dyDescent="0.2">
      <c r="B637" s="2"/>
      <c r="F637" s="2"/>
      <c r="I637" s="2"/>
    </row>
    <row r="638" spans="2:9" x14ac:dyDescent="0.2">
      <c r="B638" s="2"/>
      <c r="F638" s="2"/>
      <c r="I638" s="2"/>
    </row>
    <row r="639" spans="2:9" x14ac:dyDescent="0.2">
      <c r="B639" s="2"/>
      <c r="F639" s="2"/>
      <c r="I639" s="2"/>
    </row>
    <row r="640" spans="2:9" x14ac:dyDescent="0.2">
      <c r="B640" s="2"/>
      <c r="F640" s="2"/>
      <c r="I640" s="2"/>
    </row>
    <row r="641" spans="2:9" x14ac:dyDescent="0.2">
      <c r="B641" s="2"/>
      <c r="F641" s="2"/>
      <c r="I641" s="2"/>
    </row>
    <row r="642" spans="2:9" x14ac:dyDescent="0.2">
      <c r="B642" s="2"/>
      <c r="F642" s="2"/>
      <c r="I642" s="2"/>
    </row>
    <row r="643" spans="2:9" x14ac:dyDescent="0.2">
      <c r="B643" s="2"/>
      <c r="F643" s="2"/>
      <c r="I643" s="2"/>
    </row>
    <row r="644" spans="2:9" x14ac:dyDescent="0.2">
      <c r="B644" s="2"/>
      <c r="F644" s="2"/>
      <c r="I644" s="2"/>
    </row>
    <row r="645" spans="2:9" x14ac:dyDescent="0.2">
      <c r="B645" s="2"/>
      <c r="F645" s="2"/>
      <c r="I645" s="2"/>
    </row>
    <row r="646" spans="2:9" x14ac:dyDescent="0.2">
      <c r="B646" s="2"/>
      <c r="F646" s="2"/>
      <c r="I646" s="2"/>
    </row>
    <row r="647" spans="2:9" x14ac:dyDescent="0.2">
      <c r="B647" s="2"/>
      <c r="F647" s="2"/>
      <c r="I647" s="2"/>
    </row>
    <row r="648" spans="2:9" x14ac:dyDescent="0.2">
      <c r="B648" s="2"/>
      <c r="F648" s="2"/>
      <c r="I648" s="2"/>
    </row>
    <row r="649" spans="2:9" x14ac:dyDescent="0.2">
      <c r="B649" s="2"/>
      <c r="F649" s="2"/>
      <c r="I649" s="2"/>
    </row>
    <row r="650" spans="2:9" x14ac:dyDescent="0.2">
      <c r="B650" s="2"/>
      <c r="F650" s="2"/>
      <c r="I650" s="2"/>
    </row>
    <row r="651" spans="2:9" x14ac:dyDescent="0.2">
      <c r="B651" s="2"/>
      <c r="F651" s="2"/>
      <c r="I651" s="2"/>
    </row>
    <row r="652" spans="2:9" x14ac:dyDescent="0.2">
      <c r="B652" s="2"/>
      <c r="F652" s="2"/>
      <c r="I652" s="2"/>
    </row>
    <row r="653" spans="2:9" x14ac:dyDescent="0.2">
      <c r="B653" s="2"/>
      <c r="F653" s="2"/>
      <c r="I653" s="2"/>
    </row>
    <row r="654" spans="2:9" x14ac:dyDescent="0.2">
      <c r="B654" s="2"/>
      <c r="F654" s="2"/>
      <c r="I654" s="2"/>
    </row>
    <row r="655" spans="2:9" x14ac:dyDescent="0.2">
      <c r="B655" s="2"/>
      <c r="F655" s="2"/>
      <c r="I655" s="2"/>
    </row>
    <row r="656" spans="2:9" x14ac:dyDescent="0.2">
      <c r="B656" s="2"/>
      <c r="F656" s="2"/>
      <c r="I656" s="2"/>
    </row>
    <row r="657" spans="2:9" x14ac:dyDescent="0.2">
      <c r="B657" s="2"/>
      <c r="F657" s="2"/>
      <c r="I657" s="2"/>
    </row>
    <row r="658" spans="2:9" x14ac:dyDescent="0.2">
      <c r="B658" s="2"/>
      <c r="F658" s="2"/>
      <c r="I658" s="2"/>
    </row>
    <row r="659" spans="2:9" x14ac:dyDescent="0.2">
      <c r="B659" s="2"/>
      <c r="F659" s="2"/>
      <c r="I659" s="2"/>
    </row>
    <row r="660" spans="2:9" x14ac:dyDescent="0.2">
      <c r="B660" s="2"/>
      <c r="F660" s="2"/>
      <c r="I660" s="2"/>
    </row>
    <row r="661" spans="2:9" x14ac:dyDescent="0.2">
      <c r="B661" s="2"/>
      <c r="F661" s="2"/>
      <c r="I661" s="2"/>
    </row>
    <row r="662" spans="2:9" x14ac:dyDescent="0.2">
      <c r="B662" s="2"/>
      <c r="F662" s="2"/>
      <c r="I662" s="2"/>
    </row>
    <row r="663" spans="2:9" x14ac:dyDescent="0.2">
      <c r="B663" s="2"/>
      <c r="F663" s="2"/>
      <c r="I663" s="2"/>
    </row>
    <row r="664" spans="2:9" x14ac:dyDescent="0.2">
      <c r="B664" s="2"/>
      <c r="F664" s="2"/>
      <c r="I664" s="2"/>
    </row>
    <row r="665" spans="2:9" x14ac:dyDescent="0.2">
      <c r="B665" s="2"/>
      <c r="F665" s="2"/>
      <c r="I665" s="2"/>
    </row>
    <row r="666" spans="2:9" x14ac:dyDescent="0.2">
      <c r="B666" s="2"/>
      <c r="F666" s="2"/>
      <c r="I666" s="2"/>
    </row>
    <row r="667" spans="2:9" x14ac:dyDescent="0.2">
      <c r="B667" s="2"/>
      <c r="F667" s="2"/>
      <c r="I667" s="2"/>
    </row>
    <row r="668" spans="2:9" x14ac:dyDescent="0.2">
      <c r="B668" s="2"/>
      <c r="F668" s="2"/>
      <c r="I668" s="2"/>
    </row>
    <row r="669" spans="2:9" x14ac:dyDescent="0.2">
      <c r="B669" s="2"/>
      <c r="F669" s="2"/>
      <c r="I669" s="2"/>
    </row>
    <row r="670" spans="2:9" x14ac:dyDescent="0.2">
      <c r="B670" s="2"/>
      <c r="F670" s="2"/>
      <c r="I670" s="2"/>
    </row>
    <row r="671" spans="2:9" x14ac:dyDescent="0.2">
      <c r="B671" s="2"/>
      <c r="F671" s="2"/>
      <c r="I671" s="2"/>
    </row>
    <row r="672" spans="2:9" x14ac:dyDescent="0.2">
      <c r="B672" s="2"/>
      <c r="F672" s="2"/>
      <c r="I672" s="2"/>
    </row>
    <row r="673" spans="2:9" x14ac:dyDescent="0.2">
      <c r="B673" s="2"/>
      <c r="F673" s="2"/>
      <c r="I673" s="2"/>
    </row>
    <row r="674" spans="2:9" x14ac:dyDescent="0.2">
      <c r="B674" s="2"/>
      <c r="F674" s="2"/>
      <c r="I674" s="2"/>
    </row>
    <row r="675" spans="2:9" x14ac:dyDescent="0.2">
      <c r="B675" s="2"/>
      <c r="F675" s="2"/>
      <c r="I675" s="2"/>
    </row>
    <row r="676" spans="2:9" x14ac:dyDescent="0.2">
      <c r="B676" s="2"/>
      <c r="F676" s="2"/>
      <c r="I676" s="2"/>
    </row>
    <row r="677" spans="2:9" x14ac:dyDescent="0.2">
      <c r="B677" s="2"/>
      <c r="F677" s="2"/>
      <c r="I677" s="2"/>
    </row>
    <row r="678" spans="2:9" x14ac:dyDescent="0.2">
      <c r="B678" s="2"/>
      <c r="F678" s="2"/>
      <c r="I678" s="2"/>
    </row>
    <row r="679" spans="2:9" x14ac:dyDescent="0.2">
      <c r="B679" s="2"/>
      <c r="F679" s="2"/>
      <c r="I679" s="2"/>
    </row>
    <row r="680" spans="2:9" x14ac:dyDescent="0.2">
      <c r="B680" s="2"/>
      <c r="F680" s="2"/>
      <c r="I680" s="2"/>
    </row>
    <row r="681" spans="2:9" x14ac:dyDescent="0.2">
      <c r="B681" s="2"/>
      <c r="F681" s="2"/>
      <c r="I681" s="2"/>
    </row>
    <row r="682" spans="2:9" x14ac:dyDescent="0.2">
      <c r="B682" s="2"/>
      <c r="F682" s="2"/>
      <c r="I682" s="2"/>
    </row>
    <row r="683" spans="2:9" x14ac:dyDescent="0.2">
      <c r="B683" s="2"/>
      <c r="F683" s="2"/>
      <c r="I683" s="2"/>
    </row>
    <row r="684" spans="2:9" x14ac:dyDescent="0.2">
      <c r="B684" s="2"/>
      <c r="F684" s="2"/>
      <c r="I684" s="2"/>
    </row>
    <row r="685" spans="2:9" x14ac:dyDescent="0.2">
      <c r="B685" s="2"/>
      <c r="F685" s="2"/>
      <c r="I685" s="2"/>
    </row>
    <row r="686" spans="2:9" x14ac:dyDescent="0.2">
      <c r="B686" s="2"/>
      <c r="F686" s="2"/>
      <c r="I686" s="2"/>
    </row>
    <row r="687" spans="2:9" x14ac:dyDescent="0.2">
      <c r="B687" s="2"/>
      <c r="F687" s="2"/>
      <c r="I687" s="2"/>
    </row>
    <row r="688" spans="2:9" x14ac:dyDescent="0.2">
      <c r="B688" s="2"/>
      <c r="F688" s="2"/>
      <c r="I688" s="2"/>
    </row>
    <row r="689" spans="2:9" x14ac:dyDescent="0.2">
      <c r="B689" s="2"/>
      <c r="F689" s="2"/>
      <c r="I689" s="2"/>
    </row>
    <row r="690" spans="2:9" x14ac:dyDescent="0.2">
      <c r="B690" s="2"/>
      <c r="F690" s="2"/>
      <c r="I690" s="2"/>
    </row>
    <row r="691" spans="2:9" x14ac:dyDescent="0.2">
      <c r="B691" s="2"/>
      <c r="F691" s="2"/>
      <c r="I691" s="2"/>
    </row>
    <row r="692" spans="2:9" x14ac:dyDescent="0.2">
      <c r="B692" s="2"/>
      <c r="F692" s="2"/>
      <c r="I692" s="2"/>
    </row>
    <row r="693" spans="2:9" x14ac:dyDescent="0.2">
      <c r="B693" s="2"/>
      <c r="F693" s="2"/>
      <c r="I693" s="2"/>
    </row>
    <row r="694" spans="2:9" x14ac:dyDescent="0.2">
      <c r="B694" s="2"/>
      <c r="F694" s="2"/>
      <c r="I694" s="2"/>
    </row>
    <row r="695" spans="2:9" x14ac:dyDescent="0.2">
      <c r="B695" s="2"/>
      <c r="F695" s="2"/>
      <c r="I695" s="2"/>
    </row>
    <row r="696" spans="2:9" x14ac:dyDescent="0.2">
      <c r="B696" s="2"/>
      <c r="F696" s="2"/>
      <c r="I696" s="2"/>
    </row>
    <row r="697" spans="2:9" x14ac:dyDescent="0.2">
      <c r="B697" s="2"/>
      <c r="F697" s="2"/>
      <c r="I697" s="2"/>
    </row>
    <row r="698" spans="2:9" x14ac:dyDescent="0.2">
      <c r="B698" s="2"/>
      <c r="F698" s="2"/>
      <c r="I698" s="2"/>
    </row>
    <row r="699" spans="2:9" x14ac:dyDescent="0.2">
      <c r="B699" s="2"/>
      <c r="F699" s="2"/>
      <c r="I699" s="2"/>
    </row>
    <row r="700" spans="2:9" x14ac:dyDescent="0.2">
      <c r="B700" s="2"/>
      <c r="F700" s="2"/>
      <c r="I700" s="2"/>
    </row>
    <row r="701" spans="2:9" x14ac:dyDescent="0.2">
      <c r="B701" s="2"/>
      <c r="F701" s="2"/>
      <c r="I701" s="2"/>
    </row>
    <row r="702" spans="2:9" x14ac:dyDescent="0.2">
      <c r="B702" s="2"/>
      <c r="F702" s="2"/>
      <c r="I702" s="2"/>
    </row>
    <row r="703" spans="2:9" x14ac:dyDescent="0.2">
      <c r="B703" s="2"/>
      <c r="F703" s="2"/>
      <c r="I703" s="2"/>
    </row>
    <row r="704" spans="2:9" x14ac:dyDescent="0.2">
      <c r="B704" s="2"/>
      <c r="F704" s="2"/>
      <c r="I704" s="2"/>
    </row>
    <row r="705" spans="2:9" x14ac:dyDescent="0.2">
      <c r="B705" s="2"/>
      <c r="F705" s="2"/>
      <c r="I705" s="2"/>
    </row>
    <row r="706" spans="2:9" x14ac:dyDescent="0.2">
      <c r="B706" s="2"/>
      <c r="F706" s="2"/>
      <c r="I706" s="2"/>
    </row>
    <row r="707" spans="2:9" x14ac:dyDescent="0.2">
      <c r="B707" s="2"/>
      <c r="F707" s="2"/>
      <c r="I707" s="2"/>
    </row>
    <row r="708" spans="2:9" x14ac:dyDescent="0.2">
      <c r="B708" s="2"/>
      <c r="F708" s="2"/>
      <c r="I708" s="2"/>
    </row>
    <row r="709" spans="2:9" x14ac:dyDescent="0.2">
      <c r="B709" s="2"/>
      <c r="F709" s="2"/>
      <c r="I709" s="2"/>
    </row>
    <row r="710" spans="2:9" x14ac:dyDescent="0.2">
      <c r="B710" s="2"/>
      <c r="F710" s="2"/>
      <c r="I710" s="2"/>
    </row>
    <row r="711" spans="2:9" x14ac:dyDescent="0.2">
      <c r="B711" s="2"/>
      <c r="F711" s="2"/>
      <c r="I711" s="2"/>
    </row>
    <row r="712" spans="2:9" x14ac:dyDescent="0.2">
      <c r="B712" s="2"/>
      <c r="F712" s="2"/>
      <c r="I712" s="2"/>
    </row>
    <row r="713" spans="2:9" x14ac:dyDescent="0.2">
      <c r="B713" s="2"/>
      <c r="F713" s="2"/>
      <c r="I713" s="2"/>
    </row>
    <row r="714" spans="2:9" x14ac:dyDescent="0.2">
      <c r="B714" s="2"/>
      <c r="F714" s="2"/>
      <c r="I714" s="2"/>
    </row>
    <row r="715" spans="2:9" x14ac:dyDescent="0.2">
      <c r="B715" s="2"/>
      <c r="F715" s="2"/>
      <c r="I715" s="2"/>
    </row>
    <row r="716" spans="2:9" x14ac:dyDescent="0.2">
      <c r="B716" s="2"/>
      <c r="F716" s="2"/>
      <c r="I716" s="2"/>
    </row>
    <row r="717" spans="2:9" x14ac:dyDescent="0.2">
      <c r="B717" s="2"/>
      <c r="F717" s="2"/>
      <c r="I717" s="2"/>
    </row>
    <row r="718" spans="2:9" x14ac:dyDescent="0.2">
      <c r="B718" s="2"/>
      <c r="F718" s="2"/>
      <c r="I718" s="2"/>
    </row>
    <row r="719" spans="2:9" x14ac:dyDescent="0.2">
      <c r="B719" s="2"/>
      <c r="F719" s="2"/>
      <c r="I719" s="2"/>
    </row>
    <row r="720" spans="2:9" x14ac:dyDescent="0.2">
      <c r="B720" s="2"/>
      <c r="F720" s="2"/>
      <c r="I720" s="2"/>
    </row>
    <row r="721" spans="2:9" x14ac:dyDescent="0.2">
      <c r="B721" s="2"/>
      <c r="F721" s="2"/>
      <c r="I721" s="2"/>
    </row>
    <row r="722" spans="2:9" x14ac:dyDescent="0.2">
      <c r="B722" s="2"/>
      <c r="F722" s="2"/>
      <c r="I722" s="2"/>
    </row>
    <row r="723" spans="2:9" x14ac:dyDescent="0.2">
      <c r="B723" s="2"/>
      <c r="F723" s="2"/>
      <c r="I723" s="2"/>
    </row>
    <row r="724" spans="2:9" x14ac:dyDescent="0.2">
      <c r="B724" s="2"/>
      <c r="F724" s="2"/>
      <c r="I724" s="2"/>
    </row>
    <row r="725" spans="2:9" x14ac:dyDescent="0.2">
      <c r="B725" s="2"/>
      <c r="F725" s="2"/>
      <c r="I725" s="2"/>
    </row>
    <row r="726" spans="2:9" x14ac:dyDescent="0.2">
      <c r="B726" s="2"/>
      <c r="F726" s="2"/>
      <c r="I726" s="2"/>
    </row>
    <row r="727" spans="2:9" x14ac:dyDescent="0.2">
      <c r="B727" s="2"/>
      <c r="F727" s="2"/>
      <c r="I727" s="2"/>
    </row>
    <row r="728" spans="2:9" x14ac:dyDescent="0.2">
      <c r="B728" s="2"/>
      <c r="F728" s="2"/>
      <c r="I728" s="2"/>
    </row>
    <row r="729" spans="2:9" x14ac:dyDescent="0.2">
      <c r="B729" s="2"/>
      <c r="F729" s="2"/>
      <c r="I729" s="2"/>
    </row>
    <row r="730" spans="2:9" x14ac:dyDescent="0.2">
      <c r="B730" s="2"/>
      <c r="F730" s="2"/>
      <c r="I730" s="2"/>
    </row>
    <row r="731" spans="2:9" x14ac:dyDescent="0.2">
      <c r="B731" s="2"/>
      <c r="F731" s="2"/>
      <c r="I731" s="2"/>
    </row>
    <row r="732" spans="2:9" x14ac:dyDescent="0.2">
      <c r="B732" s="2"/>
      <c r="F732" s="2"/>
      <c r="I732" s="2"/>
    </row>
    <row r="733" spans="2:9" x14ac:dyDescent="0.2">
      <c r="B733" s="2"/>
      <c r="F733" s="2"/>
      <c r="I733" s="2"/>
    </row>
    <row r="734" spans="2:9" x14ac:dyDescent="0.2">
      <c r="B734" s="2"/>
      <c r="F734" s="2"/>
      <c r="I734" s="2"/>
    </row>
    <row r="735" spans="2:9" x14ac:dyDescent="0.2">
      <c r="B735" s="2"/>
      <c r="F735" s="2"/>
      <c r="I735" s="2"/>
    </row>
    <row r="736" spans="2:9" x14ac:dyDescent="0.2">
      <c r="B736" s="2"/>
      <c r="F736" s="2"/>
      <c r="I736" s="2"/>
    </row>
    <row r="737" spans="2:9" x14ac:dyDescent="0.2">
      <c r="B737" s="2"/>
      <c r="F737" s="2"/>
      <c r="I737" s="2"/>
    </row>
    <row r="738" spans="2:9" x14ac:dyDescent="0.2">
      <c r="B738" s="2"/>
      <c r="F738" s="2"/>
      <c r="I738" s="2"/>
    </row>
    <row r="739" spans="2:9" x14ac:dyDescent="0.2">
      <c r="B739" s="2"/>
      <c r="F739" s="2"/>
      <c r="I739" s="2"/>
    </row>
    <row r="740" spans="2:9" x14ac:dyDescent="0.2">
      <c r="B740" s="2"/>
      <c r="F740" s="2"/>
      <c r="I740" s="2"/>
    </row>
    <row r="741" spans="2:9" x14ac:dyDescent="0.2">
      <c r="B741" s="2"/>
      <c r="F741" s="2"/>
      <c r="I741" s="2"/>
    </row>
    <row r="742" spans="2:9" x14ac:dyDescent="0.2">
      <c r="B742" s="2"/>
      <c r="F742" s="2"/>
      <c r="I742" s="2"/>
    </row>
    <row r="743" spans="2:9" x14ac:dyDescent="0.2">
      <c r="B743" s="2"/>
      <c r="F743" s="2"/>
      <c r="I743" s="2"/>
    </row>
    <row r="744" spans="2:9" x14ac:dyDescent="0.2">
      <c r="B744" s="2"/>
      <c r="F744" s="2"/>
      <c r="I744" s="2"/>
    </row>
    <row r="745" spans="2:9" x14ac:dyDescent="0.2">
      <c r="B745" s="2"/>
      <c r="F745" s="2"/>
      <c r="I745" s="2"/>
    </row>
    <row r="746" spans="2:9" x14ac:dyDescent="0.2">
      <c r="B746" s="2"/>
      <c r="F746" s="2"/>
      <c r="I746" s="2"/>
    </row>
    <row r="747" spans="2:9" x14ac:dyDescent="0.2">
      <c r="B747" s="2"/>
      <c r="F747" s="2"/>
      <c r="I747" s="2"/>
    </row>
    <row r="748" spans="2:9" x14ac:dyDescent="0.2">
      <c r="B748" s="2"/>
      <c r="F748" s="2"/>
      <c r="I748" s="2"/>
    </row>
    <row r="749" spans="2:9" x14ac:dyDescent="0.2">
      <c r="B749" s="2"/>
      <c r="F749" s="2"/>
      <c r="I749" s="2"/>
    </row>
    <row r="750" spans="2:9" x14ac:dyDescent="0.2">
      <c r="B750" s="2"/>
      <c r="F750" s="2"/>
      <c r="I750" s="2"/>
    </row>
    <row r="751" spans="2:9" x14ac:dyDescent="0.2">
      <c r="B751" s="2"/>
      <c r="F751" s="2"/>
      <c r="I751" s="2"/>
    </row>
    <row r="752" spans="2:9" x14ac:dyDescent="0.2">
      <c r="B752" s="2"/>
      <c r="F752" s="2"/>
      <c r="I752" s="2"/>
    </row>
    <row r="753" spans="2:9" x14ac:dyDescent="0.2">
      <c r="B753" s="2"/>
      <c r="F753" s="2"/>
      <c r="I753" s="2"/>
    </row>
    <row r="754" spans="2:9" x14ac:dyDescent="0.2">
      <c r="B754" s="2"/>
      <c r="F754" s="2"/>
      <c r="I754" s="2"/>
    </row>
    <row r="755" spans="2:9" x14ac:dyDescent="0.2">
      <c r="B755" s="2"/>
      <c r="F755" s="2"/>
      <c r="I755" s="2"/>
    </row>
    <row r="756" spans="2:9" x14ac:dyDescent="0.2">
      <c r="B756" s="2"/>
      <c r="F756" s="2"/>
      <c r="I756" s="2"/>
    </row>
    <row r="757" spans="2:9" x14ac:dyDescent="0.2">
      <c r="B757" s="2"/>
      <c r="F757" s="2"/>
      <c r="I757" s="2"/>
    </row>
    <row r="758" spans="2:9" x14ac:dyDescent="0.2">
      <c r="B758" s="2"/>
      <c r="F758" s="2"/>
      <c r="I758" s="2"/>
    </row>
    <row r="759" spans="2:9" x14ac:dyDescent="0.2">
      <c r="B759" s="2"/>
      <c r="F759" s="2"/>
      <c r="I759" s="2"/>
    </row>
    <row r="760" spans="2:9" x14ac:dyDescent="0.2">
      <c r="B760" s="2"/>
      <c r="F760" s="2"/>
      <c r="I760" s="2"/>
    </row>
    <row r="761" spans="2:9" x14ac:dyDescent="0.2">
      <c r="B761" s="2"/>
      <c r="F761" s="2"/>
      <c r="I761" s="2"/>
    </row>
    <row r="762" spans="2:9" x14ac:dyDescent="0.2">
      <c r="B762" s="2"/>
      <c r="F762" s="2"/>
      <c r="I762" s="2"/>
    </row>
    <row r="763" spans="2:9" x14ac:dyDescent="0.2">
      <c r="B763" s="2"/>
      <c r="F763" s="2"/>
      <c r="I763" s="2"/>
    </row>
    <row r="764" spans="2:9" x14ac:dyDescent="0.2">
      <c r="B764" s="2"/>
      <c r="F764" s="2"/>
      <c r="I764" s="2"/>
    </row>
    <row r="765" spans="2:9" x14ac:dyDescent="0.2">
      <c r="B765" s="2"/>
      <c r="F765" s="2"/>
      <c r="I765" s="2"/>
    </row>
    <row r="766" spans="2:9" x14ac:dyDescent="0.2">
      <c r="B766" s="2"/>
      <c r="F766" s="2"/>
      <c r="I766" s="2"/>
    </row>
    <row r="767" spans="2:9" x14ac:dyDescent="0.2">
      <c r="B767" s="2"/>
      <c r="F767" s="2"/>
      <c r="I767" s="2"/>
    </row>
    <row r="768" spans="2:9" x14ac:dyDescent="0.2">
      <c r="B768" s="2"/>
      <c r="F768" s="2"/>
      <c r="I768" s="2"/>
    </row>
    <row r="769" spans="2:9" x14ac:dyDescent="0.2">
      <c r="B769" s="2"/>
      <c r="F769" s="2"/>
      <c r="I769" s="2"/>
    </row>
    <row r="770" spans="2:9" x14ac:dyDescent="0.2">
      <c r="B770" s="2"/>
      <c r="F770" s="2"/>
      <c r="I770" s="2"/>
    </row>
    <row r="771" spans="2:9" x14ac:dyDescent="0.2">
      <c r="B771" s="2"/>
      <c r="F771" s="2"/>
      <c r="I771" s="2"/>
    </row>
    <row r="772" spans="2:9" x14ac:dyDescent="0.2">
      <c r="B772" s="2"/>
      <c r="F772" s="2"/>
      <c r="I772" s="2"/>
    </row>
    <row r="773" spans="2:9" x14ac:dyDescent="0.2">
      <c r="B773" s="2"/>
      <c r="F773" s="2"/>
      <c r="I773" s="2"/>
    </row>
    <row r="774" spans="2:9" x14ac:dyDescent="0.2">
      <c r="B774" s="2"/>
      <c r="F774" s="2"/>
      <c r="I774" s="2"/>
    </row>
    <row r="775" spans="2:9" x14ac:dyDescent="0.2">
      <c r="B775" s="2"/>
      <c r="F775" s="2"/>
      <c r="I775" s="2"/>
    </row>
    <row r="776" spans="2:9" x14ac:dyDescent="0.2">
      <c r="B776" s="2"/>
      <c r="F776" s="2"/>
      <c r="I776" s="2"/>
    </row>
    <row r="777" spans="2:9" x14ac:dyDescent="0.2">
      <c r="B777" s="2"/>
      <c r="F777" s="2"/>
      <c r="I777" s="2"/>
    </row>
    <row r="778" spans="2:9" x14ac:dyDescent="0.2">
      <c r="B778" s="2"/>
      <c r="F778" s="2"/>
      <c r="I778" s="2"/>
    </row>
    <row r="779" spans="2:9" x14ac:dyDescent="0.2">
      <c r="B779" s="2"/>
      <c r="F779" s="2"/>
      <c r="I779" s="2"/>
    </row>
    <row r="780" spans="2:9" x14ac:dyDescent="0.2">
      <c r="B780" s="2"/>
      <c r="F780" s="2"/>
      <c r="I780" s="2"/>
    </row>
    <row r="781" spans="2:9" x14ac:dyDescent="0.2">
      <c r="B781" s="2"/>
      <c r="F781" s="2"/>
      <c r="I781" s="2"/>
    </row>
    <row r="782" spans="2:9" x14ac:dyDescent="0.2">
      <c r="B782" s="2"/>
      <c r="F782" s="2"/>
      <c r="I782" s="2"/>
    </row>
    <row r="783" spans="2:9" x14ac:dyDescent="0.2">
      <c r="B783" s="2"/>
      <c r="F783" s="2"/>
      <c r="I783" s="2"/>
    </row>
    <row r="784" spans="2:9" x14ac:dyDescent="0.2">
      <c r="B784" s="2"/>
      <c r="F784" s="2"/>
      <c r="I784" s="2"/>
    </row>
    <row r="785" spans="2:9" x14ac:dyDescent="0.2">
      <c r="B785" s="2"/>
      <c r="F785" s="2"/>
      <c r="I785" s="2"/>
    </row>
    <row r="786" spans="2:9" x14ac:dyDescent="0.2">
      <c r="B786" s="2"/>
      <c r="F786" s="2"/>
      <c r="I786" s="2"/>
    </row>
    <row r="787" spans="2:9" x14ac:dyDescent="0.2">
      <c r="B787" s="2"/>
      <c r="F787" s="2"/>
      <c r="I787" s="2"/>
    </row>
    <row r="788" spans="2:9" x14ac:dyDescent="0.2">
      <c r="B788" s="2"/>
      <c r="F788" s="2"/>
      <c r="I788" s="2"/>
    </row>
    <row r="789" spans="2:9" x14ac:dyDescent="0.2">
      <c r="B789" s="2"/>
      <c r="F789" s="2"/>
      <c r="I789" s="2"/>
    </row>
    <row r="790" spans="2:9" x14ac:dyDescent="0.2">
      <c r="B790" s="2"/>
      <c r="F790" s="2"/>
      <c r="I790" s="2"/>
    </row>
    <row r="791" spans="2:9" x14ac:dyDescent="0.2">
      <c r="B791" s="2"/>
      <c r="F791" s="2"/>
      <c r="I791" s="2"/>
    </row>
    <row r="792" spans="2:9" x14ac:dyDescent="0.2">
      <c r="B792" s="2"/>
      <c r="F792" s="2"/>
      <c r="I792" s="2"/>
    </row>
    <row r="793" spans="2:9" x14ac:dyDescent="0.2">
      <c r="B793" s="2"/>
      <c r="F793" s="2"/>
      <c r="I793" s="2"/>
    </row>
    <row r="794" spans="2:9" x14ac:dyDescent="0.2">
      <c r="B794" s="2"/>
      <c r="F794" s="2"/>
      <c r="I794" s="2"/>
    </row>
    <row r="795" spans="2:9" x14ac:dyDescent="0.2">
      <c r="B795" s="2"/>
      <c r="F795" s="2"/>
      <c r="I795" s="2"/>
    </row>
    <row r="796" spans="2:9" x14ac:dyDescent="0.2">
      <c r="B796" s="2"/>
      <c r="F796" s="2"/>
      <c r="I796" s="2"/>
    </row>
    <row r="797" spans="2:9" x14ac:dyDescent="0.2">
      <c r="B797" s="2"/>
      <c r="F797" s="2"/>
      <c r="I797" s="2"/>
    </row>
    <row r="798" spans="2:9" x14ac:dyDescent="0.2">
      <c r="B798" s="2"/>
      <c r="F798" s="2"/>
      <c r="I798" s="2"/>
    </row>
    <row r="799" spans="2:9" x14ac:dyDescent="0.2">
      <c r="B799" s="2"/>
      <c r="F799" s="2"/>
      <c r="I799" s="2"/>
    </row>
    <row r="800" spans="2:9" x14ac:dyDescent="0.2">
      <c r="B800" s="2"/>
      <c r="F800" s="2"/>
      <c r="I800" s="2"/>
    </row>
    <row r="801" spans="2:9" x14ac:dyDescent="0.2">
      <c r="B801" s="2"/>
      <c r="F801" s="2"/>
      <c r="I801" s="2"/>
    </row>
    <row r="802" spans="2:9" x14ac:dyDescent="0.2">
      <c r="B802" s="2"/>
      <c r="F802" s="2"/>
      <c r="I802" s="2"/>
    </row>
    <row r="803" spans="2:9" x14ac:dyDescent="0.2">
      <c r="B803" s="2"/>
      <c r="F803" s="2"/>
      <c r="I803" s="2"/>
    </row>
    <row r="804" spans="2:9" x14ac:dyDescent="0.2">
      <c r="B804" s="2"/>
      <c r="F804" s="2"/>
      <c r="I804" s="2"/>
    </row>
    <row r="805" spans="2:9" x14ac:dyDescent="0.2">
      <c r="B805" s="2"/>
      <c r="F805" s="2"/>
      <c r="I805" s="2"/>
    </row>
    <row r="806" spans="2:9" x14ac:dyDescent="0.2">
      <c r="B806" s="2"/>
      <c r="F806" s="2"/>
      <c r="I806" s="2"/>
    </row>
    <row r="807" spans="2:9" x14ac:dyDescent="0.2">
      <c r="B807" s="2"/>
      <c r="F807" s="2"/>
      <c r="I807" s="2"/>
    </row>
    <row r="808" spans="2:9" x14ac:dyDescent="0.2">
      <c r="B808" s="2"/>
      <c r="F808" s="2"/>
      <c r="I808" s="2"/>
    </row>
    <row r="809" spans="2:9" x14ac:dyDescent="0.2">
      <c r="B809" s="2"/>
      <c r="F809" s="2"/>
      <c r="I809" s="2"/>
    </row>
    <row r="810" spans="2:9" x14ac:dyDescent="0.2">
      <c r="B810" s="2"/>
      <c r="F810" s="2"/>
      <c r="I810" s="2"/>
    </row>
    <row r="811" spans="2:9" x14ac:dyDescent="0.2">
      <c r="B811" s="2"/>
      <c r="F811" s="2"/>
      <c r="I811" s="2"/>
    </row>
    <row r="812" spans="2:9" x14ac:dyDescent="0.2">
      <c r="B812" s="2"/>
      <c r="F812" s="2"/>
      <c r="I812" s="2"/>
    </row>
    <row r="813" spans="2:9" x14ac:dyDescent="0.2">
      <c r="B813" s="2"/>
      <c r="F813" s="2"/>
      <c r="I813" s="2"/>
    </row>
    <row r="814" spans="2:9" x14ac:dyDescent="0.2">
      <c r="B814" s="2"/>
      <c r="F814" s="2"/>
      <c r="I814" s="2"/>
    </row>
    <row r="815" spans="2:9" x14ac:dyDescent="0.2">
      <c r="B815" s="2"/>
      <c r="F815" s="2"/>
      <c r="I815" s="2"/>
    </row>
    <row r="816" spans="2:9" x14ac:dyDescent="0.2">
      <c r="B816" s="2"/>
      <c r="F816" s="2"/>
      <c r="I816" s="2"/>
    </row>
    <row r="817" spans="2:9" x14ac:dyDescent="0.2">
      <c r="B817" s="2"/>
      <c r="F817" s="2"/>
      <c r="I817" s="2"/>
    </row>
    <row r="818" spans="2:9" x14ac:dyDescent="0.2">
      <c r="B818" s="2"/>
      <c r="F818" s="2"/>
      <c r="I818" s="2"/>
    </row>
    <row r="819" spans="2:9" x14ac:dyDescent="0.2">
      <c r="B819" s="2"/>
      <c r="F819" s="2"/>
      <c r="I819" s="2"/>
    </row>
    <row r="820" spans="2:9" x14ac:dyDescent="0.2">
      <c r="B820" s="2"/>
      <c r="F820" s="2"/>
      <c r="I820" s="2"/>
    </row>
    <row r="821" spans="2:9" x14ac:dyDescent="0.2">
      <c r="B821" s="2"/>
      <c r="F821" s="2"/>
      <c r="I821" s="2"/>
    </row>
    <row r="822" spans="2:9" x14ac:dyDescent="0.2">
      <c r="B822" s="2"/>
      <c r="F822" s="2"/>
      <c r="I822" s="2"/>
    </row>
    <row r="823" spans="2:9" x14ac:dyDescent="0.2">
      <c r="B823" s="2"/>
      <c r="F823" s="2"/>
      <c r="I823" s="2"/>
    </row>
    <row r="824" spans="2:9" x14ac:dyDescent="0.2">
      <c r="B824" s="2"/>
      <c r="F824" s="2"/>
      <c r="I824" s="2"/>
    </row>
    <row r="825" spans="2:9" x14ac:dyDescent="0.2">
      <c r="B825" s="2"/>
      <c r="F825" s="2"/>
      <c r="I825" s="2"/>
    </row>
    <row r="826" spans="2:9" x14ac:dyDescent="0.2">
      <c r="B826" s="2"/>
      <c r="F826" s="2"/>
      <c r="I826" s="2"/>
    </row>
    <row r="827" spans="2:9" x14ac:dyDescent="0.2">
      <c r="B827" s="2"/>
      <c r="F827" s="2"/>
      <c r="I827" s="2"/>
    </row>
    <row r="828" spans="2:9" x14ac:dyDescent="0.2">
      <c r="B828" s="2"/>
      <c r="F828" s="2"/>
      <c r="I828" s="2"/>
    </row>
    <row r="829" spans="2:9" x14ac:dyDescent="0.2">
      <c r="B829" s="2"/>
      <c r="F829" s="2"/>
      <c r="I829" s="2"/>
    </row>
    <row r="830" spans="2:9" x14ac:dyDescent="0.2">
      <c r="B830" s="2"/>
      <c r="F830" s="2"/>
      <c r="I830" s="2"/>
    </row>
    <row r="831" spans="2:9" x14ac:dyDescent="0.2">
      <c r="B831" s="2"/>
      <c r="F831" s="2"/>
      <c r="I831" s="2"/>
    </row>
    <row r="832" spans="2:9" x14ac:dyDescent="0.2">
      <c r="B832" s="2"/>
      <c r="F832" s="2"/>
      <c r="I832" s="2"/>
    </row>
    <row r="833" spans="2:9" x14ac:dyDescent="0.2">
      <c r="B833" s="2"/>
      <c r="F833" s="2"/>
      <c r="I833" s="2"/>
    </row>
    <row r="834" spans="2:9" x14ac:dyDescent="0.2">
      <c r="B834" s="2"/>
      <c r="F834" s="2"/>
      <c r="I834" s="2"/>
    </row>
    <row r="835" spans="2:9" x14ac:dyDescent="0.2">
      <c r="B835" s="2"/>
      <c r="F835" s="2"/>
      <c r="I835" s="2"/>
    </row>
    <row r="836" spans="2:9" x14ac:dyDescent="0.2">
      <c r="B836" s="2"/>
      <c r="F836" s="2"/>
      <c r="I836" s="2"/>
    </row>
    <row r="837" spans="2:9" x14ac:dyDescent="0.2">
      <c r="B837" s="2"/>
      <c r="F837" s="2"/>
      <c r="I837" s="2"/>
    </row>
    <row r="838" spans="2:9" x14ac:dyDescent="0.2">
      <c r="B838" s="2"/>
      <c r="F838" s="2"/>
      <c r="I838" s="2"/>
    </row>
    <row r="839" spans="2:9" x14ac:dyDescent="0.2">
      <c r="B839" s="2"/>
      <c r="F839" s="2"/>
      <c r="I839" s="2"/>
    </row>
    <row r="840" spans="2:9" x14ac:dyDescent="0.2">
      <c r="B840" s="2"/>
      <c r="F840" s="2"/>
      <c r="I840" s="2"/>
    </row>
    <row r="841" spans="2:9" x14ac:dyDescent="0.2">
      <c r="B841" s="2"/>
      <c r="F841" s="2"/>
      <c r="I841" s="2"/>
    </row>
    <row r="842" spans="2:9" x14ac:dyDescent="0.2">
      <c r="B842" s="2"/>
      <c r="F842" s="2"/>
      <c r="I842" s="2"/>
    </row>
    <row r="843" spans="2:9" x14ac:dyDescent="0.2">
      <c r="B843" s="2"/>
      <c r="F843" s="2"/>
      <c r="I843" s="2"/>
    </row>
    <row r="844" spans="2:9" x14ac:dyDescent="0.2">
      <c r="B844" s="2"/>
      <c r="F844" s="2"/>
      <c r="I844" s="2"/>
    </row>
    <row r="845" spans="2:9" x14ac:dyDescent="0.2">
      <c r="B845" s="2"/>
      <c r="F845" s="2"/>
      <c r="I845" s="2"/>
    </row>
    <row r="846" spans="2:9" x14ac:dyDescent="0.2">
      <c r="B846" s="2"/>
      <c r="F846" s="2"/>
      <c r="I846" s="2"/>
    </row>
    <row r="847" spans="2:9" x14ac:dyDescent="0.2">
      <c r="B847" s="2"/>
      <c r="F847" s="2"/>
      <c r="I847" s="2"/>
    </row>
    <row r="848" spans="2:9" x14ac:dyDescent="0.2">
      <c r="B848" s="2"/>
      <c r="F848" s="2"/>
      <c r="I848" s="2"/>
    </row>
    <row r="849" spans="2:9" x14ac:dyDescent="0.2">
      <c r="B849" s="2"/>
      <c r="F849" s="2"/>
      <c r="I849" s="2"/>
    </row>
    <row r="850" spans="2:9" x14ac:dyDescent="0.2">
      <c r="B850" s="2"/>
      <c r="F850" s="2"/>
      <c r="I850" s="2"/>
    </row>
    <row r="851" spans="2:9" x14ac:dyDescent="0.2">
      <c r="B851" s="2"/>
      <c r="F851" s="2"/>
      <c r="I851" s="2"/>
    </row>
    <row r="852" spans="2:9" x14ac:dyDescent="0.2">
      <c r="B852" s="2"/>
      <c r="F852" s="2"/>
      <c r="I852" s="2"/>
    </row>
    <row r="853" spans="2:9" x14ac:dyDescent="0.2">
      <c r="B853" s="2"/>
      <c r="F853" s="2"/>
      <c r="I853" s="2"/>
    </row>
    <row r="854" spans="2:9" x14ac:dyDescent="0.2">
      <c r="B854" s="2"/>
      <c r="F854" s="2"/>
      <c r="I854" s="2"/>
    </row>
    <row r="855" spans="2:9" x14ac:dyDescent="0.2">
      <c r="B855" s="2"/>
      <c r="F855" s="2"/>
      <c r="I855" s="2"/>
    </row>
    <row r="856" spans="2:9" x14ac:dyDescent="0.2">
      <c r="B856" s="2"/>
      <c r="F856" s="2"/>
      <c r="I856" s="2"/>
    </row>
    <row r="857" spans="2:9" x14ac:dyDescent="0.2">
      <c r="B857" s="2"/>
      <c r="F857" s="2"/>
      <c r="I857" s="2"/>
    </row>
    <row r="858" spans="2:9" x14ac:dyDescent="0.2">
      <c r="B858" s="2"/>
      <c r="F858" s="2"/>
      <c r="I858" s="2"/>
    </row>
    <row r="859" spans="2:9" x14ac:dyDescent="0.2">
      <c r="B859" s="2"/>
      <c r="F859" s="2"/>
      <c r="I859" s="2"/>
    </row>
    <row r="860" spans="2:9" x14ac:dyDescent="0.2">
      <c r="B860" s="2"/>
      <c r="F860" s="2"/>
      <c r="I860" s="2"/>
    </row>
    <row r="861" spans="2:9" x14ac:dyDescent="0.2">
      <c r="B861" s="2"/>
      <c r="F861" s="2"/>
      <c r="I861" s="2"/>
    </row>
    <row r="862" spans="2:9" x14ac:dyDescent="0.2">
      <c r="B862" s="2"/>
      <c r="F862" s="2"/>
      <c r="I862" s="2"/>
    </row>
    <row r="863" spans="2:9" x14ac:dyDescent="0.2">
      <c r="B863" s="2"/>
      <c r="F863" s="2"/>
      <c r="I863" s="2"/>
    </row>
    <row r="864" spans="2:9" x14ac:dyDescent="0.2">
      <c r="B864" s="2"/>
      <c r="F864" s="2"/>
      <c r="I864" s="2"/>
    </row>
    <row r="865" spans="2:9" x14ac:dyDescent="0.2">
      <c r="B865" s="2"/>
      <c r="F865" s="2"/>
      <c r="I865" s="2"/>
    </row>
    <row r="866" spans="2:9" x14ac:dyDescent="0.2">
      <c r="B866" s="2"/>
      <c r="F866" s="2"/>
      <c r="I866" s="2"/>
    </row>
    <row r="867" spans="2:9" x14ac:dyDescent="0.2">
      <c r="B867" s="2"/>
      <c r="F867" s="2"/>
      <c r="I867" s="2"/>
    </row>
    <row r="868" spans="2:9" x14ac:dyDescent="0.2">
      <c r="B868" s="2"/>
      <c r="F868" s="2"/>
      <c r="I868" s="2"/>
    </row>
    <row r="869" spans="2:9" x14ac:dyDescent="0.2">
      <c r="B869" s="2"/>
      <c r="F869" s="2"/>
      <c r="I869" s="2"/>
    </row>
    <row r="870" spans="2:9" x14ac:dyDescent="0.2">
      <c r="B870" s="2"/>
      <c r="F870" s="2"/>
      <c r="I870" s="2"/>
    </row>
    <row r="871" spans="2:9" x14ac:dyDescent="0.2">
      <c r="B871" s="2"/>
      <c r="F871" s="2"/>
      <c r="I871" s="2"/>
    </row>
    <row r="872" spans="2:9" x14ac:dyDescent="0.2">
      <c r="B872" s="2"/>
      <c r="F872" s="2"/>
      <c r="I872" s="2"/>
    </row>
    <row r="873" spans="2:9" x14ac:dyDescent="0.2">
      <c r="B873" s="2"/>
      <c r="F873" s="2"/>
      <c r="I873" s="2"/>
    </row>
    <row r="874" spans="2:9" x14ac:dyDescent="0.2">
      <c r="B874" s="2"/>
      <c r="F874" s="2"/>
      <c r="I874" s="2"/>
    </row>
    <row r="875" spans="2:9" x14ac:dyDescent="0.2">
      <c r="B875" s="2"/>
      <c r="F875" s="2"/>
      <c r="I875" s="2"/>
    </row>
    <row r="876" spans="2:9" x14ac:dyDescent="0.2">
      <c r="B876" s="2"/>
      <c r="F876" s="2"/>
      <c r="I876" s="2"/>
    </row>
    <row r="877" spans="2:9" x14ac:dyDescent="0.2">
      <c r="B877" s="2"/>
      <c r="F877" s="2"/>
      <c r="I877" s="2"/>
    </row>
    <row r="878" spans="2:9" x14ac:dyDescent="0.2">
      <c r="B878" s="2"/>
      <c r="F878" s="2"/>
      <c r="I878" s="2"/>
    </row>
    <row r="879" spans="2:9" x14ac:dyDescent="0.2">
      <c r="B879" s="2"/>
      <c r="F879" s="2"/>
      <c r="I879" s="2"/>
    </row>
    <row r="880" spans="2:9" x14ac:dyDescent="0.2">
      <c r="B880" s="2"/>
      <c r="F880" s="2"/>
      <c r="I880" s="2"/>
    </row>
    <row r="881" spans="2:9" x14ac:dyDescent="0.2">
      <c r="B881" s="2"/>
      <c r="F881" s="2"/>
      <c r="I881" s="2"/>
    </row>
    <row r="882" spans="2:9" x14ac:dyDescent="0.2">
      <c r="B882" s="2"/>
      <c r="F882" s="2"/>
      <c r="I882" s="2"/>
    </row>
    <row r="883" spans="2:9" x14ac:dyDescent="0.2">
      <c r="B883" s="2"/>
      <c r="F883" s="2"/>
      <c r="I883" s="2"/>
    </row>
    <row r="884" spans="2:9" x14ac:dyDescent="0.2">
      <c r="B884" s="2"/>
      <c r="F884" s="2"/>
      <c r="I884" s="2"/>
    </row>
    <row r="885" spans="2:9" x14ac:dyDescent="0.2">
      <c r="B885" s="2"/>
      <c r="F885" s="2"/>
      <c r="I885" s="2"/>
    </row>
    <row r="886" spans="2:9" x14ac:dyDescent="0.2">
      <c r="B886" s="2"/>
      <c r="F886" s="2"/>
      <c r="I886" s="2"/>
    </row>
    <row r="887" spans="2:9" x14ac:dyDescent="0.2">
      <c r="B887" s="2"/>
      <c r="F887" s="2"/>
      <c r="I887" s="2"/>
    </row>
    <row r="888" spans="2:9" x14ac:dyDescent="0.2">
      <c r="B888" s="2"/>
      <c r="F888" s="2"/>
      <c r="I888" s="2"/>
    </row>
    <row r="889" spans="2:9" x14ac:dyDescent="0.2">
      <c r="B889" s="2"/>
      <c r="F889" s="2"/>
      <c r="I889" s="2"/>
    </row>
    <row r="890" spans="2:9" x14ac:dyDescent="0.2">
      <c r="B890" s="2"/>
      <c r="F890" s="2"/>
      <c r="I890" s="2"/>
    </row>
    <row r="891" spans="2:9" x14ac:dyDescent="0.2">
      <c r="B891" s="2"/>
      <c r="F891" s="2"/>
      <c r="I891" s="2"/>
    </row>
    <row r="892" spans="2:9" x14ac:dyDescent="0.2">
      <c r="B892" s="2"/>
      <c r="F892" s="2"/>
      <c r="I892" s="2"/>
    </row>
    <row r="893" spans="2:9" x14ac:dyDescent="0.2">
      <c r="B893" s="2"/>
      <c r="F893" s="2"/>
      <c r="I893" s="2"/>
    </row>
    <row r="894" spans="2:9" x14ac:dyDescent="0.2">
      <c r="B894" s="2"/>
      <c r="F894" s="2"/>
      <c r="I894" s="2"/>
    </row>
    <row r="895" spans="2:9" x14ac:dyDescent="0.2">
      <c r="B895" s="2"/>
      <c r="F895" s="2"/>
      <c r="I895" s="2"/>
    </row>
    <row r="896" spans="2:9" x14ac:dyDescent="0.2">
      <c r="B896" s="2"/>
      <c r="F896" s="2"/>
      <c r="I896" s="2"/>
    </row>
    <row r="897" spans="2:9" x14ac:dyDescent="0.2">
      <c r="B897" s="2"/>
      <c r="F897" s="2"/>
      <c r="I897" s="2"/>
    </row>
    <row r="898" spans="2:9" x14ac:dyDescent="0.2">
      <c r="B898" s="2"/>
      <c r="F898" s="2"/>
      <c r="I898" s="2"/>
    </row>
    <row r="899" spans="2:9" x14ac:dyDescent="0.2">
      <c r="B899" s="2"/>
      <c r="F899" s="2"/>
      <c r="I899" s="2"/>
    </row>
    <row r="900" spans="2:9" x14ac:dyDescent="0.2">
      <c r="B900" s="2"/>
      <c r="F900" s="2"/>
      <c r="I900" s="2"/>
    </row>
    <row r="901" spans="2:9" x14ac:dyDescent="0.2">
      <c r="B901" s="2"/>
      <c r="F901" s="2"/>
      <c r="I901" s="2"/>
    </row>
    <row r="902" spans="2:9" x14ac:dyDescent="0.2">
      <c r="B902" s="2"/>
      <c r="F902" s="2"/>
      <c r="I902" s="2"/>
    </row>
    <row r="903" spans="2:9" x14ac:dyDescent="0.2">
      <c r="B903" s="2"/>
      <c r="F903" s="2"/>
      <c r="I903" s="2"/>
    </row>
    <row r="904" spans="2:9" x14ac:dyDescent="0.2">
      <c r="B904" s="2"/>
      <c r="F904" s="2"/>
      <c r="I904" s="2"/>
    </row>
    <row r="905" spans="2:9" x14ac:dyDescent="0.2">
      <c r="B905" s="2"/>
      <c r="F905" s="2"/>
      <c r="I905" s="2"/>
    </row>
    <row r="906" spans="2:9" x14ac:dyDescent="0.2">
      <c r="B906" s="2"/>
      <c r="F906" s="2"/>
      <c r="I906" s="2"/>
    </row>
    <row r="907" spans="2:9" x14ac:dyDescent="0.2">
      <c r="B907" s="2"/>
      <c r="F907" s="2"/>
      <c r="I907" s="2"/>
    </row>
    <row r="908" spans="2:9" x14ac:dyDescent="0.2">
      <c r="B908" s="2"/>
      <c r="F908" s="2"/>
      <c r="I908" s="2"/>
    </row>
    <row r="909" spans="2:9" x14ac:dyDescent="0.2">
      <c r="B909" s="2"/>
      <c r="F909" s="2"/>
      <c r="I909" s="2"/>
    </row>
    <row r="910" spans="2:9" x14ac:dyDescent="0.2">
      <c r="B910" s="2"/>
      <c r="F910" s="2"/>
      <c r="I910" s="2"/>
    </row>
    <row r="911" spans="2:9" x14ac:dyDescent="0.2">
      <c r="B911" s="2"/>
      <c r="F911" s="2"/>
      <c r="I911" s="2"/>
    </row>
    <row r="912" spans="2:9" x14ac:dyDescent="0.2">
      <c r="B912" s="2"/>
      <c r="F912" s="2"/>
      <c r="I912" s="2"/>
    </row>
    <row r="913" spans="2:9" x14ac:dyDescent="0.2">
      <c r="B913" s="2"/>
      <c r="F913" s="2"/>
      <c r="I913" s="2"/>
    </row>
    <row r="914" spans="2:9" x14ac:dyDescent="0.2">
      <c r="B914" s="2"/>
      <c r="F914" s="2"/>
      <c r="I914" s="2"/>
    </row>
    <row r="915" spans="2:9" x14ac:dyDescent="0.2">
      <c r="B915" s="2"/>
      <c r="F915" s="2"/>
      <c r="I915" s="2"/>
    </row>
    <row r="916" spans="2:9" x14ac:dyDescent="0.2">
      <c r="B916" s="2"/>
      <c r="F916" s="2"/>
      <c r="I916" s="2"/>
    </row>
    <row r="917" spans="2:9" x14ac:dyDescent="0.2">
      <c r="B917" s="2"/>
      <c r="F917" s="2"/>
      <c r="I917" s="2"/>
    </row>
    <row r="918" spans="2:9" x14ac:dyDescent="0.2">
      <c r="B918" s="2"/>
      <c r="F918" s="2"/>
      <c r="I918" s="2"/>
    </row>
    <row r="919" spans="2:9" x14ac:dyDescent="0.2">
      <c r="B919" s="2"/>
      <c r="F919" s="2"/>
      <c r="I919" s="2"/>
    </row>
    <row r="920" spans="2:9" x14ac:dyDescent="0.2">
      <c r="B920" s="2"/>
      <c r="F920" s="2"/>
      <c r="I920" s="2"/>
    </row>
    <row r="921" spans="2:9" x14ac:dyDescent="0.2">
      <c r="B921" s="2"/>
      <c r="F921" s="2"/>
      <c r="I921" s="2"/>
    </row>
    <row r="922" spans="2:9" x14ac:dyDescent="0.2">
      <c r="B922" s="2"/>
      <c r="F922" s="2"/>
      <c r="I922" s="2"/>
    </row>
    <row r="923" spans="2:9" x14ac:dyDescent="0.2">
      <c r="B923" s="2"/>
      <c r="F923" s="2"/>
      <c r="I923" s="2"/>
    </row>
    <row r="924" spans="2:9" x14ac:dyDescent="0.2">
      <c r="B924" s="2"/>
      <c r="F924" s="2"/>
      <c r="I924" s="2"/>
    </row>
    <row r="925" spans="2:9" x14ac:dyDescent="0.2">
      <c r="B925" s="2"/>
      <c r="F925" s="2"/>
      <c r="I925" s="2"/>
    </row>
    <row r="926" spans="2:9" x14ac:dyDescent="0.2">
      <c r="B926" s="2"/>
      <c r="F926" s="2"/>
      <c r="I926" s="2"/>
    </row>
    <row r="927" spans="2:9" x14ac:dyDescent="0.2">
      <c r="B927" s="2"/>
      <c r="F927" s="2"/>
      <c r="I927" s="2"/>
    </row>
    <row r="928" spans="2:9" x14ac:dyDescent="0.2">
      <c r="B928" s="2"/>
      <c r="F928" s="2"/>
      <c r="I928" s="2"/>
    </row>
    <row r="929" spans="2:9" x14ac:dyDescent="0.2">
      <c r="B929" s="2"/>
      <c r="F929" s="2"/>
      <c r="I929" s="2"/>
    </row>
    <row r="930" spans="2:9" x14ac:dyDescent="0.2">
      <c r="B930" s="2"/>
      <c r="F930" s="2"/>
      <c r="I930" s="2"/>
    </row>
    <row r="931" spans="2:9" x14ac:dyDescent="0.2">
      <c r="B931" s="2"/>
      <c r="F931" s="2"/>
      <c r="I931" s="2"/>
    </row>
    <row r="932" spans="2:9" x14ac:dyDescent="0.2">
      <c r="B932" s="2"/>
      <c r="F932" s="2"/>
      <c r="I932" s="2"/>
    </row>
    <row r="933" spans="2:9" x14ac:dyDescent="0.2">
      <c r="B933" s="2"/>
      <c r="F933" s="2"/>
      <c r="I933" s="2"/>
    </row>
    <row r="934" spans="2:9" x14ac:dyDescent="0.2">
      <c r="B934" s="2"/>
      <c r="F934" s="2"/>
      <c r="I934" s="2"/>
    </row>
    <row r="935" spans="2:9" x14ac:dyDescent="0.2">
      <c r="B935" s="2"/>
      <c r="F935" s="2"/>
      <c r="I935" s="2"/>
    </row>
    <row r="936" spans="2:9" x14ac:dyDescent="0.2">
      <c r="B936" s="2"/>
      <c r="F936" s="2"/>
      <c r="I936" s="2"/>
    </row>
    <row r="937" spans="2:9" x14ac:dyDescent="0.2">
      <c r="B937" s="2"/>
      <c r="F937" s="2"/>
      <c r="I937" s="2"/>
    </row>
    <row r="938" spans="2:9" x14ac:dyDescent="0.2">
      <c r="B938" s="2"/>
      <c r="F938" s="2"/>
      <c r="I938" s="2"/>
    </row>
    <row r="939" spans="2:9" x14ac:dyDescent="0.2">
      <c r="B939" s="2"/>
      <c r="F939" s="2"/>
      <c r="I939" s="2"/>
    </row>
    <row r="940" spans="2:9" x14ac:dyDescent="0.2">
      <c r="B940" s="2"/>
      <c r="F940" s="2"/>
      <c r="I940" s="2"/>
    </row>
    <row r="941" spans="2:9" x14ac:dyDescent="0.2">
      <c r="B941" s="2"/>
      <c r="F941" s="2"/>
      <c r="I941" s="2"/>
    </row>
    <row r="942" spans="2:9" x14ac:dyDescent="0.2">
      <c r="B942" s="2"/>
      <c r="F942" s="2"/>
      <c r="I942" s="2"/>
    </row>
    <row r="943" spans="2:9" x14ac:dyDescent="0.2">
      <c r="B943" s="2"/>
      <c r="F943" s="2"/>
      <c r="I943" s="2"/>
    </row>
    <row r="944" spans="2:9" x14ac:dyDescent="0.2">
      <c r="B944" s="2"/>
      <c r="F944" s="2"/>
      <c r="I944" s="2"/>
    </row>
    <row r="945" spans="2:9" x14ac:dyDescent="0.2">
      <c r="B945" s="2"/>
      <c r="F945" s="2"/>
      <c r="I945" s="2"/>
    </row>
    <row r="946" spans="2:9" x14ac:dyDescent="0.2">
      <c r="B946" s="2"/>
      <c r="F946" s="2"/>
      <c r="I946" s="2"/>
    </row>
    <row r="947" spans="2:9" x14ac:dyDescent="0.2">
      <c r="B947" s="2"/>
      <c r="F947" s="2"/>
      <c r="I947" s="2"/>
    </row>
    <row r="948" spans="2:9" x14ac:dyDescent="0.2">
      <c r="B948" s="2"/>
      <c r="F948" s="2"/>
      <c r="I948" s="2"/>
    </row>
    <row r="949" spans="2:9" x14ac:dyDescent="0.2">
      <c r="B949" s="2"/>
      <c r="F949" s="2"/>
      <c r="I949" s="2"/>
    </row>
    <row r="950" spans="2:9" x14ac:dyDescent="0.2">
      <c r="B950" s="2"/>
      <c r="F950" s="2"/>
      <c r="I950" s="2"/>
    </row>
    <row r="951" spans="2:9" x14ac:dyDescent="0.2">
      <c r="B951" s="2"/>
      <c r="F951" s="2"/>
      <c r="I951" s="2"/>
    </row>
    <row r="952" spans="2:9" x14ac:dyDescent="0.2">
      <c r="B952" s="2"/>
      <c r="F952" s="2"/>
      <c r="I952" s="2"/>
    </row>
    <row r="953" spans="2:9" x14ac:dyDescent="0.2">
      <c r="B953" s="2"/>
      <c r="F953" s="2"/>
      <c r="I953" s="2"/>
    </row>
    <row r="954" spans="2:9" x14ac:dyDescent="0.2">
      <c r="B954" s="2"/>
      <c r="F954" s="2"/>
      <c r="I954" s="2"/>
    </row>
    <row r="955" spans="2:9" x14ac:dyDescent="0.2">
      <c r="B955" s="2"/>
      <c r="F955" s="2"/>
      <c r="I955" s="2"/>
    </row>
    <row r="956" spans="2:9" x14ac:dyDescent="0.2">
      <c r="B956" s="2"/>
      <c r="F956" s="2"/>
      <c r="I956" s="2"/>
    </row>
    <row r="957" spans="2:9" x14ac:dyDescent="0.2">
      <c r="B957" s="2"/>
      <c r="F957" s="2"/>
      <c r="I957" s="2"/>
    </row>
    <row r="958" spans="2:9" x14ac:dyDescent="0.2">
      <c r="B958" s="2"/>
      <c r="F958" s="2"/>
      <c r="I958" s="2"/>
    </row>
    <row r="959" spans="2:9" x14ac:dyDescent="0.2">
      <c r="B959" s="2"/>
      <c r="F959" s="2"/>
      <c r="I959" s="2"/>
    </row>
    <row r="960" spans="2:9" x14ac:dyDescent="0.2">
      <c r="B960" s="2"/>
      <c r="F960" s="2"/>
      <c r="I960" s="2"/>
    </row>
    <row r="961" spans="2:9" x14ac:dyDescent="0.2">
      <c r="B961" s="2"/>
      <c r="F961" s="2"/>
      <c r="I961" s="2"/>
    </row>
    <row r="962" spans="2:9" x14ac:dyDescent="0.2">
      <c r="B962" s="2"/>
      <c r="F962" s="2"/>
      <c r="I962" s="2"/>
    </row>
    <row r="963" spans="2:9" x14ac:dyDescent="0.2">
      <c r="B963" s="2"/>
      <c r="F963" s="2"/>
      <c r="I963" s="2"/>
    </row>
    <row r="964" spans="2:9" x14ac:dyDescent="0.2">
      <c r="B964" s="2"/>
      <c r="F964" s="2"/>
      <c r="I964" s="2"/>
    </row>
    <row r="965" spans="2:9" x14ac:dyDescent="0.2">
      <c r="B965" s="2"/>
      <c r="F965" s="2"/>
      <c r="I965" s="2"/>
    </row>
    <row r="966" spans="2:9" x14ac:dyDescent="0.2">
      <c r="B966" s="2"/>
      <c r="F966" s="2"/>
      <c r="I966" s="2"/>
    </row>
    <row r="967" spans="2:9" x14ac:dyDescent="0.2">
      <c r="B967" s="2"/>
      <c r="F967" s="2"/>
      <c r="I967" s="2"/>
    </row>
    <row r="968" spans="2:9" x14ac:dyDescent="0.2">
      <c r="B968" s="2"/>
      <c r="F968" s="2"/>
      <c r="I968" s="2"/>
    </row>
    <row r="969" spans="2:9" x14ac:dyDescent="0.2">
      <c r="B969" s="2"/>
      <c r="F969" s="2"/>
      <c r="I969" s="2"/>
    </row>
    <row r="970" spans="2:9" x14ac:dyDescent="0.2">
      <c r="B970" s="2"/>
      <c r="F970" s="2"/>
      <c r="I970" s="2"/>
    </row>
    <row r="971" spans="2:9" x14ac:dyDescent="0.2">
      <c r="B971" s="2"/>
      <c r="F971" s="2"/>
      <c r="I971" s="2"/>
    </row>
    <row r="972" spans="2:9" x14ac:dyDescent="0.2">
      <c r="B972" s="2"/>
      <c r="F972" s="2"/>
      <c r="I972" s="2"/>
    </row>
    <row r="973" spans="2:9" x14ac:dyDescent="0.2">
      <c r="B973" s="2"/>
      <c r="F973" s="2"/>
      <c r="I973" s="2"/>
    </row>
    <row r="974" spans="2:9" x14ac:dyDescent="0.2">
      <c r="B974" s="2"/>
      <c r="F974" s="2"/>
      <c r="I974" s="2"/>
    </row>
    <row r="975" spans="2:9" x14ac:dyDescent="0.2">
      <c r="B975" s="2"/>
      <c r="F975" s="2"/>
      <c r="I975" s="2"/>
    </row>
    <row r="976" spans="2:9" x14ac:dyDescent="0.2">
      <c r="B976" s="2"/>
      <c r="F976" s="2"/>
      <c r="I976" s="2"/>
    </row>
    <row r="977" spans="2:9" x14ac:dyDescent="0.2">
      <c r="B977" s="2"/>
      <c r="F977" s="2"/>
      <c r="I977" s="2"/>
    </row>
    <row r="978" spans="2:9" x14ac:dyDescent="0.2">
      <c r="B978" s="2"/>
      <c r="F978" s="2"/>
      <c r="I978" s="2"/>
    </row>
    <row r="979" spans="2:9" x14ac:dyDescent="0.2">
      <c r="B979" s="2"/>
      <c r="F979" s="2"/>
      <c r="I979" s="2"/>
    </row>
    <row r="980" spans="2:9" x14ac:dyDescent="0.2">
      <c r="B980" s="2"/>
      <c r="F980" s="2"/>
      <c r="I980" s="2"/>
    </row>
    <row r="981" spans="2:9" x14ac:dyDescent="0.2">
      <c r="B981" s="2"/>
      <c r="F981" s="2"/>
      <c r="I981" s="2"/>
    </row>
    <row r="982" spans="2:9" x14ac:dyDescent="0.2">
      <c r="B982" s="2"/>
      <c r="F982" s="2"/>
      <c r="I982" s="2"/>
    </row>
    <row r="983" spans="2:9" x14ac:dyDescent="0.2">
      <c r="B983" s="2"/>
      <c r="F983" s="2"/>
      <c r="I983" s="2"/>
    </row>
    <row r="984" spans="2:9" x14ac:dyDescent="0.2">
      <c r="B984" s="2"/>
      <c r="F984" s="2"/>
      <c r="I984" s="2"/>
    </row>
    <row r="985" spans="2:9" x14ac:dyDescent="0.2">
      <c r="B985" s="2"/>
      <c r="F985" s="2"/>
      <c r="I985" s="2"/>
    </row>
    <row r="986" spans="2:9" x14ac:dyDescent="0.2">
      <c r="B986" s="2"/>
      <c r="F986" s="2"/>
      <c r="I986" s="2"/>
    </row>
    <row r="987" spans="2:9" x14ac:dyDescent="0.2">
      <c r="B987" s="2"/>
      <c r="F987" s="2"/>
      <c r="I987" s="2"/>
    </row>
    <row r="988" spans="2:9" x14ac:dyDescent="0.2">
      <c r="B988" s="2"/>
      <c r="F988" s="2"/>
      <c r="I988" s="2"/>
    </row>
    <row r="989" spans="2:9" x14ac:dyDescent="0.2">
      <c r="B989" s="2"/>
      <c r="F989" s="2"/>
      <c r="I989" s="2"/>
    </row>
    <row r="990" spans="2:9" x14ac:dyDescent="0.2">
      <c r="B990" s="2"/>
      <c r="F990" s="2"/>
      <c r="I990" s="2"/>
    </row>
    <row r="991" spans="2:9" x14ac:dyDescent="0.2">
      <c r="B991" s="2"/>
      <c r="F991" s="2"/>
      <c r="I991" s="2"/>
    </row>
    <row r="992" spans="2:9" x14ac:dyDescent="0.2">
      <c r="B992" s="2"/>
      <c r="F992" s="2"/>
      <c r="I992" s="2"/>
    </row>
    <row r="993" spans="2:9" x14ac:dyDescent="0.2">
      <c r="B993" s="2"/>
      <c r="F993" s="2"/>
      <c r="I993" s="2"/>
    </row>
    <row r="994" spans="2:9" x14ac:dyDescent="0.2">
      <c r="B994" s="2"/>
      <c r="F994" s="2"/>
      <c r="I994" s="2"/>
    </row>
    <row r="995" spans="2:9" x14ac:dyDescent="0.2">
      <c r="B995" s="2"/>
      <c r="F995" s="2"/>
      <c r="I995" s="2"/>
    </row>
    <row r="996" spans="2:9" x14ac:dyDescent="0.2">
      <c r="B996" s="2"/>
      <c r="F996" s="2"/>
      <c r="I996" s="2"/>
    </row>
    <row r="997" spans="2:9" x14ac:dyDescent="0.2">
      <c r="B997" s="2"/>
      <c r="F997" s="2"/>
      <c r="I997" s="2"/>
    </row>
    <row r="998" spans="2:9" x14ac:dyDescent="0.2">
      <c r="B998" s="2"/>
      <c r="F998" s="2"/>
      <c r="I998" s="2"/>
    </row>
    <row r="999" spans="2:9" x14ac:dyDescent="0.2">
      <c r="B999" s="2"/>
      <c r="F999" s="2"/>
      <c r="I999" s="2"/>
    </row>
    <row r="1000" spans="2:9" x14ac:dyDescent="0.2">
      <c r="B1000" s="2"/>
      <c r="F1000" s="2"/>
      <c r="I1000" s="2"/>
    </row>
    <row r="1001" spans="2:9" x14ac:dyDescent="0.2">
      <c r="B1001" s="2"/>
      <c r="F1001" s="2"/>
      <c r="I10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42B7-560D-45C3-94E8-F1D73011F93E}">
  <dimension ref="A1:F20"/>
  <sheetViews>
    <sheetView workbookViewId="0">
      <selection activeCell="F12" sqref="F12"/>
    </sheetView>
  </sheetViews>
  <sheetFormatPr defaultRowHeight="12.75" x14ac:dyDescent="0.2"/>
  <sheetData>
    <row r="1" spans="1:6" x14ac:dyDescent="0.2">
      <c r="A1" t="s">
        <v>150</v>
      </c>
      <c r="B1" t="s">
        <v>150</v>
      </c>
      <c r="C1" t="s">
        <v>222</v>
      </c>
    </row>
    <row r="2" spans="1:6" x14ac:dyDescent="0.2">
      <c r="A2" t="s">
        <v>225</v>
      </c>
    </row>
    <row r="3" spans="1:6" x14ac:dyDescent="0.2">
      <c r="A3" t="s">
        <v>221</v>
      </c>
    </row>
    <row r="4" spans="1:6" x14ac:dyDescent="0.2">
      <c r="A4" t="s">
        <v>223</v>
      </c>
      <c r="E4" t="s">
        <v>227</v>
      </c>
    </row>
    <row r="5" spans="1:6" x14ac:dyDescent="0.2">
      <c r="A5" t="s">
        <v>224</v>
      </c>
      <c r="F5" t="s">
        <v>228</v>
      </c>
    </row>
    <row r="7" spans="1:6" x14ac:dyDescent="0.2">
      <c r="A7" t="s">
        <v>226</v>
      </c>
    </row>
    <row r="8" spans="1:6" x14ac:dyDescent="0.2">
      <c r="A8" t="s">
        <v>229</v>
      </c>
      <c r="F8" t="s">
        <v>230</v>
      </c>
    </row>
    <row r="9" spans="1:6" x14ac:dyDescent="0.2">
      <c r="A9" t="s">
        <v>232</v>
      </c>
      <c r="F9" t="s">
        <v>231</v>
      </c>
    </row>
    <row r="10" spans="1:6" x14ac:dyDescent="0.2">
      <c r="A10" t="s">
        <v>233</v>
      </c>
      <c r="F10" t="s">
        <v>234</v>
      </c>
    </row>
    <row r="12" spans="1:6" x14ac:dyDescent="0.2">
      <c r="A12" t="s">
        <v>235</v>
      </c>
      <c r="F12" t="s">
        <v>236</v>
      </c>
    </row>
    <row r="17" spans="1:1" x14ac:dyDescent="0.2">
      <c r="A17" t="s">
        <v>237</v>
      </c>
    </row>
    <row r="18" spans="1:1" x14ac:dyDescent="0.2">
      <c r="A18" t="s">
        <v>238</v>
      </c>
    </row>
    <row r="20" spans="1:1" x14ac:dyDescent="0.2">
      <c r="A20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D860-39C7-451E-97F6-153E1BAFE41A}">
  <dimension ref="A1:M23"/>
  <sheetViews>
    <sheetView tabSelected="1" workbookViewId="0">
      <selection activeCell="M28" sqref="M28"/>
    </sheetView>
  </sheetViews>
  <sheetFormatPr defaultRowHeight="12.75" x14ac:dyDescent="0.2"/>
  <cols>
    <col min="1" max="1" width="14" bestFit="1" customWidth="1"/>
  </cols>
  <sheetData>
    <row r="1" spans="1:13" ht="13.5" thickBot="1" x14ac:dyDescent="0.25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</row>
    <row r="2" spans="1:13" ht="14.25" x14ac:dyDescent="0.2">
      <c r="A2" t="s">
        <v>240</v>
      </c>
      <c r="B2" s="15" t="s">
        <v>252</v>
      </c>
      <c r="C2" s="16" t="s">
        <v>253</v>
      </c>
      <c r="D2" s="17" t="s">
        <v>254</v>
      </c>
      <c r="E2" s="25" t="s">
        <v>254</v>
      </c>
      <c r="F2" s="16" t="s">
        <v>253</v>
      </c>
      <c r="G2" s="30" t="s">
        <v>252</v>
      </c>
      <c r="H2" s="25" t="s">
        <v>254</v>
      </c>
      <c r="I2" s="26" t="s">
        <v>252</v>
      </c>
      <c r="J2" s="34" t="s">
        <v>256</v>
      </c>
      <c r="K2" s="25" t="s">
        <v>257</v>
      </c>
      <c r="L2" s="16" t="s">
        <v>253</v>
      </c>
      <c r="M2" s="30" t="s">
        <v>252</v>
      </c>
    </row>
    <row r="3" spans="1:13" ht="14.25" x14ac:dyDescent="0.2">
      <c r="A3" t="s">
        <v>241</v>
      </c>
      <c r="B3" s="18" t="s">
        <v>255</v>
      </c>
      <c r="C3" s="19" t="s">
        <v>252</v>
      </c>
      <c r="D3" s="21" t="s">
        <v>253</v>
      </c>
      <c r="E3" s="31" t="s">
        <v>253</v>
      </c>
      <c r="F3" s="27" t="s">
        <v>256</v>
      </c>
      <c r="G3" s="32" t="s">
        <v>255</v>
      </c>
      <c r="H3" s="31" t="s">
        <v>253</v>
      </c>
      <c r="I3" s="27" t="s">
        <v>255</v>
      </c>
      <c r="J3" s="32" t="s">
        <v>261</v>
      </c>
      <c r="K3" s="31" t="s">
        <v>253</v>
      </c>
      <c r="L3" s="27" t="s">
        <v>255</v>
      </c>
      <c r="M3" s="32" t="s">
        <v>256</v>
      </c>
    </row>
    <row r="4" spans="1:13" ht="15" thickBot="1" x14ac:dyDescent="0.25">
      <c r="A4" s="10" t="s">
        <v>242</v>
      </c>
      <c r="B4" s="22" t="s">
        <v>256</v>
      </c>
      <c r="C4" s="23" t="s">
        <v>255</v>
      </c>
      <c r="D4" s="29" t="s">
        <v>252</v>
      </c>
      <c r="E4" s="22" t="s">
        <v>255</v>
      </c>
      <c r="F4" s="23" t="s">
        <v>261</v>
      </c>
      <c r="G4" s="29" t="s">
        <v>252</v>
      </c>
      <c r="H4" s="22" t="s">
        <v>255</v>
      </c>
      <c r="I4" s="23" t="s">
        <v>256</v>
      </c>
      <c r="J4" s="24" t="s">
        <v>264</v>
      </c>
      <c r="K4" s="28" t="s">
        <v>252</v>
      </c>
      <c r="L4" s="23" t="s">
        <v>255</v>
      </c>
      <c r="M4" s="24" t="s">
        <v>261</v>
      </c>
    </row>
    <row r="5" spans="1:13" ht="14.25" x14ac:dyDescent="0.2">
      <c r="A5" t="s">
        <v>243</v>
      </c>
      <c r="B5" s="35" t="s">
        <v>256</v>
      </c>
      <c r="C5" s="33" t="s">
        <v>255</v>
      </c>
      <c r="D5" s="17" t="s">
        <v>253</v>
      </c>
      <c r="E5" s="15" t="s">
        <v>252</v>
      </c>
      <c r="F5" s="33" t="s">
        <v>256</v>
      </c>
      <c r="G5" s="34" t="s">
        <v>255</v>
      </c>
      <c r="H5" s="25" t="s">
        <v>253</v>
      </c>
      <c r="I5" s="16" t="s">
        <v>254</v>
      </c>
      <c r="J5" s="30" t="s">
        <v>252</v>
      </c>
      <c r="K5" s="25" t="s">
        <v>254</v>
      </c>
      <c r="L5" s="16" t="s">
        <v>253</v>
      </c>
      <c r="M5" s="34" t="s">
        <v>255</v>
      </c>
    </row>
    <row r="6" spans="1:13" ht="14.25" x14ac:dyDescent="0.2">
      <c r="A6" t="s">
        <v>244</v>
      </c>
      <c r="B6" s="18" t="s">
        <v>255</v>
      </c>
      <c r="C6" s="20" t="s">
        <v>254</v>
      </c>
      <c r="D6" s="21" t="s">
        <v>257</v>
      </c>
      <c r="E6" s="31" t="s">
        <v>254</v>
      </c>
      <c r="F6" s="19" t="s">
        <v>252</v>
      </c>
      <c r="G6" s="21" t="s">
        <v>253</v>
      </c>
      <c r="H6" s="31" t="s">
        <v>254</v>
      </c>
      <c r="I6" s="20" t="s">
        <v>253</v>
      </c>
      <c r="J6" s="32" t="s">
        <v>255</v>
      </c>
      <c r="K6" s="31" t="s">
        <v>254</v>
      </c>
      <c r="L6" s="19" t="s">
        <v>252</v>
      </c>
      <c r="M6" s="32" t="s">
        <v>255</v>
      </c>
    </row>
    <row r="7" spans="1:13" ht="15" thickBot="1" x14ac:dyDescent="0.25">
      <c r="A7" t="s">
        <v>245</v>
      </c>
      <c r="B7" s="28" t="s">
        <v>252</v>
      </c>
      <c r="C7" s="36" t="s">
        <v>253</v>
      </c>
      <c r="D7" s="29" t="s">
        <v>252</v>
      </c>
      <c r="E7" s="37" t="s">
        <v>253</v>
      </c>
      <c r="F7" s="23" t="s">
        <v>255</v>
      </c>
      <c r="G7" s="29" t="s">
        <v>252</v>
      </c>
      <c r="H7" s="37" t="s">
        <v>253</v>
      </c>
      <c r="I7" s="23" t="s">
        <v>255</v>
      </c>
      <c r="J7" s="24" t="s">
        <v>256</v>
      </c>
      <c r="K7" s="28" t="s">
        <v>252</v>
      </c>
      <c r="L7" s="23" t="s">
        <v>255</v>
      </c>
      <c r="M7" s="24" t="s">
        <v>256</v>
      </c>
    </row>
    <row r="8" spans="1:13" ht="14.25" x14ac:dyDescent="0.2">
      <c r="A8" t="s">
        <v>246</v>
      </c>
      <c r="B8" s="35" t="s">
        <v>256</v>
      </c>
      <c r="C8" s="26" t="s">
        <v>252</v>
      </c>
      <c r="D8" s="17" t="s">
        <v>254</v>
      </c>
      <c r="E8" s="35" t="s">
        <v>255</v>
      </c>
      <c r="F8" s="33" t="s">
        <v>256</v>
      </c>
      <c r="G8" s="34" t="s">
        <v>255</v>
      </c>
      <c r="H8" s="15" t="s">
        <v>252</v>
      </c>
      <c r="I8" s="33" t="s">
        <v>255</v>
      </c>
      <c r="J8" s="34" t="s">
        <v>256</v>
      </c>
      <c r="K8" s="15" t="s">
        <v>252</v>
      </c>
      <c r="L8" s="33" t="s">
        <v>255</v>
      </c>
      <c r="M8" s="17" t="s">
        <v>253</v>
      </c>
    </row>
    <row r="9" spans="1:13" ht="14.25" x14ac:dyDescent="0.2">
      <c r="A9" t="s">
        <v>247</v>
      </c>
      <c r="B9" s="39" t="s">
        <v>252</v>
      </c>
      <c r="C9" s="20" t="s">
        <v>253</v>
      </c>
      <c r="D9" s="21" t="s">
        <v>254</v>
      </c>
      <c r="E9" s="18" t="s">
        <v>256</v>
      </c>
      <c r="F9" s="27" t="s">
        <v>255</v>
      </c>
      <c r="G9" s="21" t="s">
        <v>253</v>
      </c>
      <c r="H9" s="31" t="s">
        <v>253</v>
      </c>
      <c r="I9" s="19" t="s">
        <v>252</v>
      </c>
      <c r="J9" s="32" t="s">
        <v>255</v>
      </c>
      <c r="K9" s="18" t="s">
        <v>254</v>
      </c>
      <c r="L9" s="19" t="s">
        <v>252</v>
      </c>
      <c r="M9" s="21" t="s">
        <v>253</v>
      </c>
    </row>
    <row r="10" spans="1:13" ht="15" thickBot="1" x14ac:dyDescent="0.25">
      <c r="A10" t="s">
        <v>248</v>
      </c>
      <c r="B10" s="37" t="s">
        <v>254</v>
      </c>
      <c r="C10" s="36" t="s">
        <v>257</v>
      </c>
      <c r="D10" s="38" t="s">
        <v>262</v>
      </c>
      <c r="E10" s="28" t="s">
        <v>252</v>
      </c>
      <c r="F10" s="36" t="s">
        <v>253</v>
      </c>
      <c r="G10" s="38" t="s">
        <v>254</v>
      </c>
      <c r="H10" s="37" t="s">
        <v>254</v>
      </c>
      <c r="I10" s="36" t="s">
        <v>253</v>
      </c>
      <c r="J10" s="29" t="s">
        <v>252</v>
      </c>
      <c r="K10" s="22" t="s">
        <v>257</v>
      </c>
      <c r="L10" s="23" t="s">
        <v>255</v>
      </c>
      <c r="M10" s="38" t="s">
        <v>254</v>
      </c>
    </row>
    <row r="11" spans="1:13" ht="14.25" x14ac:dyDescent="0.2">
      <c r="A11" t="s">
        <v>249</v>
      </c>
      <c r="B11" s="25" t="s">
        <v>257</v>
      </c>
      <c r="C11" s="16" t="s">
        <v>253</v>
      </c>
      <c r="D11" s="30" t="s">
        <v>252</v>
      </c>
      <c r="E11" s="15" t="s">
        <v>252</v>
      </c>
      <c r="F11" s="33" t="s">
        <v>256</v>
      </c>
      <c r="G11" s="34" t="s">
        <v>256</v>
      </c>
      <c r="H11" s="15" t="s">
        <v>252</v>
      </c>
      <c r="I11" s="26" t="s">
        <v>252</v>
      </c>
      <c r="J11" s="34" t="s">
        <v>261</v>
      </c>
      <c r="K11" s="15" t="s">
        <v>252</v>
      </c>
      <c r="L11" s="16" t="s">
        <v>253</v>
      </c>
      <c r="M11" s="34" t="s">
        <v>254</v>
      </c>
    </row>
    <row r="12" spans="1:13" ht="14.25" x14ac:dyDescent="0.2">
      <c r="A12" t="s">
        <v>250</v>
      </c>
      <c r="B12" s="18" t="s">
        <v>255</v>
      </c>
      <c r="C12" s="20" t="s">
        <v>253</v>
      </c>
      <c r="D12" s="21" t="s">
        <v>253</v>
      </c>
      <c r="E12" s="18" t="s">
        <v>255</v>
      </c>
      <c r="F12" s="19" t="s">
        <v>252</v>
      </c>
      <c r="G12" s="21" t="s">
        <v>253</v>
      </c>
      <c r="H12" s="31" t="s">
        <v>253</v>
      </c>
      <c r="I12" s="19" t="s">
        <v>252</v>
      </c>
      <c r="J12" s="21" t="s">
        <v>253</v>
      </c>
      <c r="K12" s="18" t="s">
        <v>255</v>
      </c>
      <c r="L12" s="19" t="s">
        <v>252</v>
      </c>
      <c r="M12" s="32" t="s">
        <v>253</v>
      </c>
    </row>
    <row r="13" spans="1:13" ht="15" thickBot="1" x14ac:dyDescent="0.25">
      <c r="A13" t="s">
        <v>251</v>
      </c>
      <c r="B13" s="28" t="s">
        <v>252</v>
      </c>
      <c r="C13" s="36" t="s">
        <v>254</v>
      </c>
      <c r="D13" s="38" t="s">
        <v>257</v>
      </c>
      <c r="E13" s="37" t="s">
        <v>253</v>
      </c>
      <c r="F13" s="36" t="s">
        <v>253</v>
      </c>
      <c r="G13" s="38" t="s">
        <v>254</v>
      </c>
      <c r="H13" s="22" t="s">
        <v>255</v>
      </c>
      <c r="I13" s="23" t="s">
        <v>255</v>
      </c>
      <c r="J13" s="24" t="s">
        <v>256</v>
      </c>
      <c r="K13" s="22" t="s">
        <v>256</v>
      </c>
      <c r="L13" s="23" t="s">
        <v>255</v>
      </c>
      <c r="M13" s="29" t="s">
        <v>252</v>
      </c>
    </row>
    <row r="17" spans="1:12" ht="27.75" x14ac:dyDescent="0.4">
      <c r="C17" s="40" t="s">
        <v>265</v>
      </c>
    </row>
    <row r="20" spans="1:12" x14ac:dyDescent="0.2">
      <c r="L20" s="10" t="s">
        <v>263</v>
      </c>
    </row>
    <row r="21" spans="1:12" x14ac:dyDescent="0.2">
      <c r="A21" s="10" t="s">
        <v>258</v>
      </c>
    </row>
    <row r="22" spans="1:12" x14ac:dyDescent="0.2">
      <c r="A22" s="10" t="s">
        <v>259</v>
      </c>
    </row>
    <row r="23" spans="1:12" x14ac:dyDescent="0.2">
      <c r="A23" s="10" t="s">
        <v>260</v>
      </c>
    </row>
  </sheetData>
  <phoneticPr fontId="11" type="noConversion"/>
  <conditionalFormatting sqref="M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Combat System Notes (Cam) </vt:lpstr>
      <vt:lpstr>Game flow chart</vt:lpstr>
      <vt:lpstr>back up</vt:lpstr>
      <vt:lpstr>Player actions on BG analysis</vt:lpstr>
      <vt:lpstr>Sheet2</vt:lpstr>
      <vt:lpstr>Dino Exp 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CH'NG ZI KANG</cp:lastModifiedBy>
  <dcterms:created xsi:type="dcterms:W3CDTF">2025-12-18T16:19:36Z</dcterms:created>
  <dcterms:modified xsi:type="dcterms:W3CDTF">2025-12-18T16:19:36Z</dcterms:modified>
</cp:coreProperties>
</file>